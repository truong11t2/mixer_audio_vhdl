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ESM_Master\Semester_2\HW_SW_Co_Dsgn\ModelSim\Exercise\"/>
    </mc:Choice>
  </mc:AlternateContent>
  <xr:revisionPtr revIDLastSave="0" documentId="13_ncr:1_{84930589-3066-4050-9330-77B90623C092}" xr6:coauthVersionLast="45" xr6:coauthVersionMax="45" xr10:uidLastSave="{00000000-0000-0000-0000-000000000000}"/>
  <bookViews>
    <workbookView xWindow="-120" yWindow="-120" windowWidth="23250" windowHeight="13740" activeTab="3" xr2:uid="{0F8074D4-5A6D-4DD6-A04F-A9DCFD323F46}"/>
  </bookViews>
  <sheets>
    <sheet name="mixer_data_tb" sheetId="1" r:id="rId1"/>
    <sheet name="Sheet1" sheetId="3" r:id="rId2"/>
    <sheet name="Sheet2" sheetId="2" r:id="rId3"/>
    <sheet name="TestCase_Manual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2" i="3" l="1"/>
  <c r="T2" i="3"/>
  <c r="U2" i="3" s="1"/>
  <c r="V2" i="3" s="1"/>
  <c r="C2" i="3"/>
  <c r="D2" i="3" s="1"/>
  <c r="E2" i="3" s="1"/>
  <c r="F2" i="3" s="1"/>
  <c r="G2" i="3" s="1"/>
  <c r="H2" i="3" s="1"/>
  <c r="I2" i="3" s="1"/>
  <c r="J2" i="3" s="1"/>
  <c r="K2" i="3" s="1"/>
  <c r="L2" i="3" s="1"/>
  <c r="M2" i="3" s="1"/>
  <c r="N2" i="3" s="1"/>
  <c r="O2" i="3" s="1"/>
  <c r="P2" i="3" s="1"/>
  <c r="Q2" i="3" s="1"/>
  <c r="R2" i="3" s="1"/>
  <c r="B2" i="3"/>
  <c r="A22" i="2" l="1"/>
  <c r="B22" i="2"/>
  <c r="C22" i="2"/>
  <c r="D22" i="2"/>
  <c r="E22" i="2"/>
  <c r="F22" i="2"/>
  <c r="G22" i="2"/>
  <c r="H22" i="2"/>
  <c r="I22" i="2"/>
  <c r="J22" i="2"/>
  <c r="K22" i="2"/>
  <c r="A23" i="2"/>
  <c r="B23" i="2"/>
  <c r="C23" i="2"/>
  <c r="D23" i="2"/>
  <c r="E23" i="2"/>
  <c r="F23" i="2"/>
  <c r="G23" i="2"/>
  <c r="H23" i="2"/>
  <c r="I23" i="2"/>
  <c r="J23" i="2"/>
  <c r="K23" i="2"/>
  <c r="A24" i="2"/>
  <c r="B24" i="2"/>
  <c r="C24" i="2"/>
  <c r="D24" i="2"/>
  <c r="E24" i="2"/>
  <c r="F24" i="2"/>
  <c r="G24" i="2"/>
  <c r="H24" i="2"/>
  <c r="I24" i="2"/>
  <c r="J24" i="2"/>
  <c r="K24" i="2"/>
  <c r="A25" i="2"/>
  <c r="B25" i="2"/>
  <c r="C25" i="2"/>
  <c r="D25" i="2"/>
  <c r="E25" i="2"/>
  <c r="F25" i="2"/>
  <c r="G25" i="2"/>
  <c r="H25" i="2"/>
  <c r="I25" i="2"/>
  <c r="J25" i="2"/>
  <c r="K25" i="2"/>
  <c r="A26" i="2"/>
  <c r="B26" i="2"/>
  <c r="C26" i="2"/>
  <c r="D26" i="2"/>
  <c r="E26" i="2"/>
  <c r="F26" i="2"/>
  <c r="G26" i="2"/>
  <c r="H26" i="2"/>
  <c r="I26" i="2"/>
  <c r="J26" i="2"/>
  <c r="K26" i="2"/>
  <c r="A27" i="2"/>
  <c r="B27" i="2"/>
  <c r="C27" i="2"/>
  <c r="D27" i="2"/>
  <c r="E27" i="2"/>
  <c r="F27" i="2"/>
  <c r="G27" i="2"/>
  <c r="H27" i="2"/>
  <c r="I27" i="2"/>
  <c r="J27" i="2"/>
  <c r="K27" i="2"/>
  <c r="A28" i="2"/>
  <c r="B28" i="2"/>
  <c r="C28" i="2"/>
  <c r="D28" i="2"/>
  <c r="E28" i="2"/>
  <c r="F28" i="2"/>
  <c r="G28" i="2"/>
  <c r="H28" i="2"/>
  <c r="I28" i="2"/>
  <c r="J28" i="2"/>
  <c r="K28" i="2"/>
  <c r="A29" i="2"/>
  <c r="B29" i="2"/>
  <c r="C29" i="2"/>
  <c r="D29" i="2"/>
  <c r="E29" i="2"/>
  <c r="F29" i="2"/>
  <c r="G29" i="2"/>
  <c r="H29" i="2"/>
  <c r="I29" i="2"/>
  <c r="J29" i="2"/>
  <c r="K29" i="2"/>
  <c r="A30" i="2"/>
  <c r="B30" i="2"/>
  <c r="C30" i="2"/>
  <c r="D30" i="2"/>
  <c r="E30" i="2"/>
  <c r="F30" i="2"/>
  <c r="G30" i="2"/>
  <c r="H30" i="2"/>
  <c r="I30" i="2"/>
  <c r="J30" i="2"/>
  <c r="K30" i="2"/>
  <c r="B21" i="2"/>
  <c r="C21" i="2"/>
  <c r="D21" i="2"/>
  <c r="E21" i="2"/>
  <c r="F21" i="2"/>
  <c r="G21" i="2"/>
  <c r="H21" i="2"/>
  <c r="I21" i="2"/>
  <c r="J21" i="2"/>
  <c r="K21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" i="2"/>
  <c r="A3" i="2"/>
  <c r="B3" i="2"/>
  <c r="C3" i="2"/>
  <c r="D3" i="2"/>
  <c r="E3" i="2"/>
  <c r="F3" i="2"/>
  <c r="G3" i="2"/>
  <c r="H3" i="2"/>
  <c r="I3" i="2"/>
  <c r="J3" i="2"/>
  <c r="A4" i="2"/>
  <c r="B4" i="2"/>
  <c r="C4" i="2"/>
  <c r="D4" i="2"/>
  <c r="E4" i="2"/>
  <c r="F4" i="2"/>
  <c r="G4" i="2"/>
  <c r="H4" i="2"/>
  <c r="I4" i="2"/>
  <c r="J4" i="2"/>
  <c r="A5" i="2"/>
  <c r="B5" i="2"/>
  <c r="C5" i="2"/>
  <c r="D5" i="2"/>
  <c r="E5" i="2"/>
  <c r="F5" i="2"/>
  <c r="G5" i="2"/>
  <c r="H5" i="2"/>
  <c r="I5" i="2"/>
  <c r="J5" i="2"/>
  <c r="A6" i="2"/>
  <c r="B6" i="2"/>
  <c r="C6" i="2"/>
  <c r="D6" i="2"/>
  <c r="E6" i="2"/>
  <c r="F6" i="2"/>
  <c r="G6" i="2"/>
  <c r="H6" i="2"/>
  <c r="I6" i="2"/>
  <c r="J6" i="2"/>
  <c r="A7" i="2"/>
  <c r="B7" i="2"/>
  <c r="C7" i="2"/>
  <c r="D7" i="2"/>
  <c r="E7" i="2"/>
  <c r="F7" i="2"/>
  <c r="G7" i="2"/>
  <c r="H7" i="2"/>
  <c r="I7" i="2"/>
  <c r="J7" i="2"/>
  <c r="A8" i="2"/>
  <c r="B8" i="2"/>
  <c r="C8" i="2"/>
  <c r="D8" i="2"/>
  <c r="E8" i="2"/>
  <c r="F8" i="2"/>
  <c r="G8" i="2"/>
  <c r="H8" i="2"/>
  <c r="I8" i="2"/>
  <c r="J8" i="2"/>
  <c r="A9" i="2"/>
  <c r="B9" i="2"/>
  <c r="C9" i="2"/>
  <c r="D9" i="2"/>
  <c r="E9" i="2"/>
  <c r="F9" i="2"/>
  <c r="G9" i="2"/>
  <c r="H9" i="2"/>
  <c r="I9" i="2"/>
  <c r="J9" i="2"/>
  <c r="A10" i="2"/>
  <c r="B10" i="2"/>
  <c r="C10" i="2"/>
  <c r="D10" i="2"/>
  <c r="E10" i="2"/>
  <c r="F10" i="2"/>
  <c r="G10" i="2"/>
  <c r="H10" i="2"/>
  <c r="I10" i="2"/>
  <c r="J10" i="2"/>
  <c r="A11" i="2"/>
  <c r="B11" i="2"/>
  <c r="C11" i="2"/>
  <c r="D11" i="2"/>
  <c r="E11" i="2"/>
  <c r="F11" i="2"/>
  <c r="G11" i="2"/>
  <c r="H11" i="2"/>
  <c r="I11" i="2"/>
  <c r="J11" i="2"/>
  <c r="A12" i="2"/>
  <c r="B12" i="2"/>
  <c r="C12" i="2"/>
  <c r="D12" i="2"/>
  <c r="E12" i="2"/>
  <c r="F12" i="2"/>
  <c r="G12" i="2"/>
  <c r="H12" i="2"/>
  <c r="I12" i="2"/>
  <c r="J12" i="2"/>
  <c r="A13" i="2"/>
  <c r="B13" i="2"/>
  <c r="C13" i="2"/>
  <c r="D13" i="2"/>
  <c r="E13" i="2"/>
  <c r="F13" i="2"/>
  <c r="G13" i="2"/>
  <c r="H13" i="2"/>
  <c r="I13" i="2"/>
  <c r="J13" i="2"/>
  <c r="A14" i="2"/>
  <c r="B14" i="2"/>
  <c r="C14" i="2"/>
  <c r="D14" i="2"/>
  <c r="E14" i="2"/>
  <c r="F14" i="2"/>
  <c r="G14" i="2"/>
  <c r="H14" i="2"/>
  <c r="I14" i="2"/>
  <c r="J14" i="2"/>
  <c r="A15" i="2"/>
  <c r="B15" i="2"/>
  <c r="C15" i="2"/>
  <c r="D15" i="2"/>
  <c r="E15" i="2"/>
  <c r="F15" i="2"/>
  <c r="G15" i="2"/>
  <c r="H15" i="2"/>
  <c r="I15" i="2"/>
  <c r="J15" i="2"/>
  <c r="A16" i="2"/>
  <c r="B16" i="2"/>
  <c r="C16" i="2"/>
  <c r="D16" i="2"/>
  <c r="E16" i="2"/>
  <c r="F16" i="2"/>
  <c r="G16" i="2"/>
  <c r="H16" i="2"/>
  <c r="I16" i="2"/>
  <c r="J16" i="2"/>
  <c r="A17" i="2"/>
  <c r="B17" i="2"/>
  <c r="C17" i="2"/>
  <c r="D17" i="2"/>
  <c r="E17" i="2"/>
  <c r="F17" i="2"/>
  <c r="G17" i="2"/>
  <c r="H17" i="2"/>
  <c r="I17" i="2"/>
  <c r="J17" i="2"/>
  <c r="A18" i="2"/>
  <c r="B18" i="2"/>
  <c r="C18" i="2"/>
  <c r="D18" i="2"/>
  <c r="E18" i="2"/>
  <c r="F18" i="2"/>
  <c r="G18" i="2"/>
  <c r="H18" i="2"/>
  <c r="I18" i="2"/>
  <c r="J18" i="2"/>
  <c r="A19" i="2"/>
  <c r="B19" i="2"/>
  <c r="C19" i="2"/>
  <c r="D19" i="2"/>
  <c r="E19" i="2"/>
  <c r="F19" i="2"/>
  <c r="G19" i="2"/>
  <c r="H19" i="2"/>
  <c r="I19" i="2"/>
  <c r="J19" i="2"/>
  <c r="A20" i="2"/>
  <c r="B20" i="2"/>
  <c r="C20" i="2"/>
  <c r="D20" i="2"/>
  <c r="E20" i="2"/>
  <c r="F20" i="2"/>
  <c r="G20" i="2"/>
  <c r="H20" i="2"/>
  <c r="I20" i="2"/>
  <c r="J20" i="2"/>
  <c r="A21" i="2"/>
  <c r="B2" i="2"/>
  <c r="C2" i="2"/>
  <c r="D2" i="2"/>
  <c r="E2" i="2"/>
  <c r="F2" i="2"/>
  <c r="G2" i="2"/>
  <c r="H2" i="2"/>
  <c r="I2" i="2"/>
  <c r="J2" i="2"/>
  <c r="A2" i="2"/>
  <c r="K11" i="1"/>
  <c r="K14" i="1"/>
  <c r="K19" i="1"/>
  <c r="K10" i="1"/>
  <c r="J45" i="1"/>
  <c r="I45" i="1"/>
  <c r="H45" i="1"/>
  <c r="G45" i="1"/>
  <c r="F45" i="1"/>
  <c r="E45" i="1"/>
  <c r="D45" i="1"/>
  <c r="C45" i="1"/>
  <c r="B45" i="1"/>
  <c r="J44" i="1"/>
  <c r="I44" i="1"/>
  <c r="H44" i="1"/>
  <c r="G44" i="1"/>
  <c r="F44" i="1"/>
  <c r="E44" i="1"/>
  <c r="D44" i="1"/>
  <c r="C44" i="1"/>
  <c r="B44" i="1"/>
  <c r="J43" i="1"/>
  <c r="I43" i="1"/>
  <c r="H43" i="1"/>
  <c r="G43" i="1"/>
  <c r="F43" i="1"/>
  <c r="E43" i="1"/>
  <c r="D43" i="1"/>
  <c r="C43" i="1"/>
  <c r="B43" i="1"/>
  <c r="J42" i="1"/>
  <c r="I42" i="1"/>
  <c r="H42" i="1"/>
  <c r="G42" i="1"/>
  <c r="F42" i="1"/>
  <c r="E42" i="1"/>
  <c r="D42" i="1"/>
  <c r="C42" i="1"/>
  <c r="B42" i="1"/>
  <c r="J41" i="1"/>
  <c r="I41" i="1"/>
  <c r="H41" i="1"/>
  <c r="G41" i="1"/>
  <c r="F41" i="1"/>
  <c r="E41" i="1"/>
  <c r="D41" i="1"/>
  <c r="C41" i="1"/>
  <c r="B41" i="1"/>
  <c r="J40" i="1"/>
  <c r="I40" i="1"/>
  <c r="H40" i="1"/>
  <c r="G40" i="1"/>
  <c r="F40" i="1"/>
  <c r="E40" i="1"/>
  <c r="D40" i="1"/>
  <c r="C40" i="1"/>
  <c r="B40" i="1"/>
  <c r="J39" i="1"/>
  <c r="I39" i="1"/>
  <c r="H39" i="1"/>
  <c r="G39" i="1"/>
  <c r="F39" i="1"/>
  <c r="E39" i="1"/>
  <c r="D39" i="1"/>
  <c r="C39" i="1"/>
  <c r="B39" i="1"/>
  <c r="J38" i="1"/>
  <c r="I38" i="1"/>
  <c r="H38" i="1"/>
  <c r="G38" i="1"/>
  <c r="F38" i="1"/>
  <c r="E38" i="1"/>
  <c r="D38" i="1"/>
  <c r="C38" i="1"/>
  <c r="B38" i="1"/>
  <c r="J37" i="1"/>
  <c r="I37" i="1"/>
  <c r="H37" i="1"/>
  <c r="G37" i="1"/>
  <c r="F37" i="1"/>
  <c r="E37" i="1"/>
  <c r="D37" i="1"/>
  <c r="C37" i="1"/>
  <c r="B37" i="1"/>
  <c r="J36" i="1"/>
  <c r="I36" i="1"/>
  <c r="H36" i="1"/>
  <c r="G36" i="1"/>
  <c r="F36" i="1"/>
  <c r="E36" i="1"/>
  <c r="D36" i="1"/>
  <c r="C36" i="1"/>
  <c r="B36" i="1"/>
  <c r="J35" i="1"/>
  <c r="I35" i="1"/>
  <c r="H35" i="1"/>
  <c r="G35" i="1"/>
  <c r="F35" i="1"/>
  <c r="E35" i="1"/>
  <c r="D35" i="1"/>
  <c r="C35" i="1"/>
  <c r="B35" i="1"/>
  <c r="J34" i="1"/>
  <c r="I34" i="1"/>
  <c r="H34" i="1"/>
  <c r="G34" i="1"/>
  <c r="F34" i="1"/>
  <c r="E34" i="1"/>
  <c r="D34" i="1"/>
  <c r="C34" i="1"/>
  <c r="B34" i="1"/>
  <c r="J33" i="1"/>
  <c r="I33" i="1"/>
  <c r="H33" i="1"/>
  <c r="G33" i="1"/>
  <c r="F33" i="1"/>
  <c r="E33" i="1"/>
  <c r="D33" i="1"/>
  <c r="C33" i="1"/>
  <c r="B33" i="1"/>
  <c r="J32" i="1"/>
  <c r="I32" i="1"/>
  <c r="H32" i="1"/>
  <c r="G32" i="1"/>
  <c r="F32" i="1"/>
  <c r="E32" i="1"/>
  <c r="D32" i="1"/>
  <c r="C32" i="1"/>
  <c r="B32" i="1"/>
  <c r="J31" i="1"/>
  <c r="I31" i="1"/>
  <c r="H31" i="1"/>
  <c r="G31" i="1"/>
  <c r="F31" i="1"/>
  <c r="E31" i="1"/>
  <c r="D31" i="1"/>
  <c r="C31" i="1"/>
  <c r="B31" i="1"/>
  <c r="J30" i="1"/>
  <c r="I30" i="1"/>
  <c r="H30" i="1"/>
  <c r="G30" i="1"/>
  <c r="F30" i="1"/>
  <c r="E30" i="1"/>
  <c r="D30" i="1"/>
  <c r="C30" i="1"/>
  <c r="B30" i="1"/>
  <c r="J29" i="1"/>
  <c r="I29" i="1"/>
  <c r="H29" i="1"/>
  <c r="G29" i="1"/>
  <c r="F29" i="1"/>
  <c r="E29" i="1"/>
  <c r="D29" i="1"/>
  <c r="C29" i="1"/>
  <c r="B29" i="1"/>
  <c r="J28" i="1"/>
  <c r="I28" i="1"/>
  <c r="H28" i="1"/>
  <c r="G28" i="1"/>
  <c r="F28" i="1"/>
  <c r="E28" i="1"/>
  <c r="D28" i="1"/>
  <c r="C28" i="1"/>
  <c r="B28" i="1"/>
  <c r="J27" i="1"/>
  <c r="I27" i="1"/>
  <c r="H27" i="1"/>
  <c r="G27" i="1"/>
  <c r="F27" i="1"/>
  <c r="E27" i="1"/>
  <c r="D27" i="1"/>
  <c r="C27" i="1"/>
  <c r="B27" i="1"/>
  <c r="J26" i="1"/>
  <c r="I26" i="1"/>
  <c r="H26" i="1"/>
  <c r="G26" i="1"/>
  <c r="F26" i="1"/>
  <c r="E26" i="1"/>
  <c r="D26" i="1"/>
  <c r="C26" i="1"/>
  <c r="B26" i="1"/>
  <c r="J25" i="1"/>
  <c r="I25" i="1"/>
  <c r="H25" i="1"/>
  <c r="G25" i="1"/>
  <c r="F25" i="1"/>
  <c r="E25" i="1"/>
  <c r="D25" i="1"/>
  <c r="C25" i="1"/>
  <c r="B25" i="1"/>
  <c r="J24" i="1"/>
  <c r="I24" i="1"/>
  <c r="H24" i="1"/>
  <c r="G24" i="1"/>
  <c r="F24" i="1"/>
  <c r="E24" i="1"/>
  <c r="D24" i="1"/>
  <c r="C24" i="1"/>
  <c r="B24" i="1"/>
  <c r="J23" i="1"/>
  <c r="I23" i="1"/>
  <c r="H23" i="1"/>
  <c r="G23" i="1"/>
  <c r="F23" i="1"/>
  <c r="E23" i="1"/>
  <c r="D23" i="1"/>
  <c r="C23" i="1"/>
  <c r="B23" i="1"/>
  <c r="J22" i="1"/>
  <c r="I22" i="1"/>
  <c r="H22" i="1"/>
  <c r="G22" i="1"/>
  <c r="F22" i="1"/>
  <c r="E22" i="1"/>
  <c r="D22" i="1"/>
  <c r="C22" i="1"/>
  <c r="B22" i="1"/>
  <c r="J21" i="1"/>
  <c r="I21" i="1"/>
  <c r="H21" i="1"/>
  <c r="G21" i="1"/>
  <c r="F21" i="1"/>
  <c r="E21" i="1"/>
  <c r="D21" i="1"/>
  <c r="C21" i="1"/>
  <c r="B21" i="1"/>
  <c r="J20" i="1"/>
  <c r="I20" i="1"/>
  <c r="H20" i="1"/>
  <c r="G20" i="1"/>
  <c r="F20" i="1"/>
  <c r="E20" i="1"/>
  <c r="D20" i="1"/>
  <c r="C20" i="1"/>
  <c r="B20" i="1"/>
  <c r="J19" i="1"/>
  <c r="I19" i="1"/>
  <c r="H19" i="1"/>
  <c r="G19" i="1"/>
  <c r="F19" i="1"/>
  <c r="E19" i="1"/>
  <c r="D19" i="1"/>
  <c r="C19" i="1"/>
  <c r="B19" i="1"/>
  <c r="J18" i="1"/>
  <c r="I18" i="1"/>
  <c r="H18" i="1"/>
  <c r="G18" i="1"/>
  <c r="F18" i="1"/>
  <c r="E18" i="1"/>
  <c r="D18" i="1"/>
  <c r="C18" i="1"/>
  <c r="B18" i="1"/>
  <c r="J17" i="1"/>
  <c r="I17" i="1"/>
  <c r="H17" i="1"/>
  <c r="G17" i="1"/>
  <c r="F17" i="1"/>
  <c r="E17" i="1"/>
  <c r="D17" i="1"/>
  <c r="C17" i="1"/>
  <c r="B17" i="1"/>
  <c r="J16" i="1"/>
  <c r="I16" i="1"/>
  <c r="H16" i="1"/>
  <c r="G16" i="1"/>
  <c r="F16" i="1"/>
  <c r="E16" i="1"/>
  <c r="D16" i="1"/>
  <c r="C16" i="1"/>
  <c r="B16" i="1"/>
  <c r="J15" i="1"/>
  <c r="I15" i="1"/>
  <c r="H15" i="1"/>
  <c r="G15" i="1"/>
  <c r="F15" i="1"/>
  <c r="E15" i="1"/>
  <c r="D15" i="1"/>
  <c r="C15" i="1"/>
  <c r="B15" i="1"/>
  <c r="J14" i="1"/>
  <c r="I14" i="1"/>
  <c r="H14" i="1"/>
  <c r="G14" i="1"/>
  <c r="F14" i="1"/>
  <c r="E14" i="1"/>
  <c r="D14" i="1"/>
  <c r="C14" i="1"/>
  <c r="B14" i="1"/>
  <c r="J13" i="1"/>
  <c r="I13" i="1"/>
  <c r="H13" i="1"/>
  <c r="G13" i="1"/>
  <c r="F13" i="1"/>
  <c r="E13" i="1"/>
  <c r="D13" i="1"/>
  <c r="C13" i="1"/>
  <c r="B13" i="1"/>
  <c r="J12" i="1"/>
  <c r="I12" i="1"/>
  <c r="H12" i="1"/>
  <c r="G12" i="1"/>
  <c r="F12" i="1"/>
  <c r="E12" i="1"/>
  <c r="D12" i="1"/>
  <c r="C12" i="1"/>
  <c r="B12" i="1"/>
  <c r="J11" i="1"/>
  <c r="I11" i="1"/>
  <c r="H11" i="1"/>
  <c r="G11" i="1"/>
  <c r="F11" i="1"/>
  <c r="E11" i="1"/>
  <c r="D11" i="1"/>
  <c r="C11" i="1"/>
  <c r="B11" i="1"/>
  <c r="J10" i="1"/>
  <c r="I10" i="1"/>
  <c r="H10" i="1"/>
  <c r="G10" i="1"/>
  <c r="F10" i="1"/>
  <c r="E10" i="1"/>
  <c r="D10" i="1"/>
  <c r="C10" i="1"/>
  <c r="B10" i="1"/>
  <c r="J9" i="1"/>
  <c r="I9" i="1"/>
  <c r="H9" i="1"/>
  <c r="G9" i="1"/>
  <c r="F9" i="1"/>
  <c r="E9" i="1"/>
  <c r="D9" i="1"/>
  <c r="C9" i="1"/>
  <c r="B9" i="1"/>
  <c r="J8" i="1"/>
  <c r="I8" i="1"/>
  <c r="H8" i="1"/>
  <c r="G8" i="1"/>
  <c r="F8" i="1"/>
  <c r="E8" i="1"/>
  <c r="D8" i="1"/>
  <c r="C8" i="1"/>
  <c r="B8" i="1"/>
  <c r="J7" i="1"/>
  <c r="I7" i="1"/>
  <c r="H7" i="1"/>
  <c r="G7" i="1"/>
  <c r="F7" i="1"/>
  <c r="E7" i="1"/>
  <c r="D7" i="1"/>
  <c r="C7" i="1"/>
  <c r="B7" i="1"/>
  <c r="A8" i="1"/>
  <c r="K7" i="1"/>
  <c r="K8" i="1"/>
  <c r="K9" i="1"/>
  <c r="K12" i="1"/>
  <c r="K13" i="1"/>
  <c r="K15" i="1"/>
  <c r="K16" i="1"/>
  <c r="K17" i="1"/>
  <c r="K18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6" i="1"/>
  <c r="A27" i="1"/>
  <c r="A11" i="1"/>
  <c r="A7" i="1"/>
  <c r="A15" i="1"/>
  <c r="A44" i="1"/>
  <c r="A23" i="1"/>
  <c r="A21" i="1"/>
  <c r="A19" i="1"/>
  <c r="A17" i="1"/>
  <c r="A45" i="1"/>
  <c r="A43" i="1"/>
  <c r="A41" i="1"/>
  <c r="A39" i="1"/>
  <c r="A37" i="1"/>
  <c r="A35" i="1"/>
  <c r="A33" i="1"/>
  <c r="A31" i="1"/>
  <c r="A29" i="1"/>
  <c r="A25" i="1"/>
  <c r="A13" i="1"/>
  <c r="A9" i="1"/>
  <c r="Q27" i="1" a="1"/>
  <c r="N37" i="1" a="1"/>
  <c r="M9" i="1" a="1"/>
  <c r="T9" i="1" a="1"/>
  <c r="P13" i="1" a="1"/>
  <c r="T17" i="1" a="1"/>
  <c r="P19" i="1" a="1"/>
  <c r="M25" i="1" a="1"/>
  <c r="T15" i="1" a="1"/>
  <c r="U17" i="1" a="1"/>
  <c r="R33" i="1" a="1"/>
  <c r="U7" i="1" a="1"/>
  <c r="Q37" i="1" a="1"/>
  <c r="U39" i="1" a="1"/>
  <c r="R15" i="1" a="1"/>
  <c r="V25" i="1" a="1"/>
  <c r="S23" i="1" a="1"/>
  <c r="R9" i="1" a="1"/>
  <c r="U29" i="1" a="1"/>
  <c r="V43" i="1" a="1"/>
  <c r="T7" i="1" a="1"/>
  <c r="U11" i="1" a="1"/>
  <c r="N19" i="1" a="1"/>
  <c r="O27" i="1" a="1"/>
  <c r="P7" i="1" a="1"/>
  <c r="R39" i="1" a="1"/>
  <c r="U9" i="1" a="1"/>
  <c r="O43" i="1" a="1"/>
  <c r="T11" i="1" a="1"/>
  <c r="Q29" i="1" a="1"/>
  <c r="M13" i="1" a="1"/>
  <c r="R37" i="1" a="1"/>
  <c r="M19" i="1" a="1"/>
  <c r="T33" i="1" a="1"/>
  <c r="N21" i="1" a="1"/>
  <c r="R29" i="1" a="1"/>
  <c r="R19" i="1" a="1"/>
  <c r="N29" i="1" a="1"/>
  <c r="N39" i="1" a="1"/>
  <c r="N31" i="1" a="1"/>
  <c r="S39" i="1" a="1"/>
  <c r="T29" i="1" a="1"/>
  <c r="S29" i="1" a="1"/>
  <c r="O37" i="1" a="1"/>
  <c r="N41" i="1" a="1"/>
  <c r="N23" i="1" a="1"/>
  <c r="M23" i="1" a="1"/>
  <c r="U25" i="1" a="1"/>
  <c r="N35" i="1" a="1"/>
  <c r="U31" i="1" a="1"/>
  <c r="N27" i="1" a="1"/>
  <c r="N7" i="1" a="1"/>
  <c r="M41" i="1" a="1"/>
  <c r="S17" i="1" a="1"/>
  <c r="N45" i="1" a="1"/>
  <c r="O15" i="1" a="1"/>
  <c r="U37" i="1" a="1"/>
  <c r="O41" i="1" a="1"/>
  <c r="T31" i="1" a="1"/>
  <c r="O25" i="1" a="1"/>
  <c r="S43" i="1" a="1"/>
  <c r="N15" i="1" a="1"/>
  <c r="U41" i="1" a="1"/>
  <c r="Q13" i="1" a="1"/>
  <c r="U19" i="1" a="1"/>
  <c r="O11" i="1" a="1"/>
  <c r="U23" i="1" a="1"/>
  <c r="Q35" i="1" a="1"/>
  <c r="T19" i="1" a="1"/>
  <c r="S37" i="1" a="1"/>
  <c r="V29" i="1" a="1"/>
  <c r="V27" i="1" a="1"/>
  <c r="T35" i="1" a="1"/>
  <c r="O23" i="1" a="1"/>
  <c r="M33" i="1" a="1"/>
  <c r="N13" i="1" a="1"/>
  <c r="M37" i="1" a="1"/>
  <c r="O35" i="1" a="1"/>
  <c r="R21" i="1" a="1"/>
  <c r="T13" i="1" a="1"/>
  <c r="R13" i="1" a="1"/>
  <c r="U27" i="1" a="1"/>
  <c r="R7" i="1" a="1"/>
  <c r="U33" i="1" a="1"/>
  <c r="V9" i="1" a="1"/>
  <c r="O45" i="1" a="1"/>
  <c r="Q17" i="1" a="1"/>
  <c r="R41" i="1" a="1"/>
  <c r="P25" i="1" a="1"/>
  <c r="N25" i="1" a="1"/>
  <c r="V13" i="1" a="1"/>
  <c r="P15" i="1" a="1"/>
  <c r="V31" i="1" a="1"/>
  <c r="P31" i="1" a="1"/>
  <c r="P37" i="1" a="1"/>
  <c r="T45" i="1" a="1"/>
  <c r="S25" i="1" a="1"/>
  <c r="Q45" i="1" a="1"/>
  <c r="Q7" i="1" a="1"/>
  <c r="M21" i="1" a="1"/>
  <c r="R35" i="1" a="1"/>
  <c r="Q11" i="1" a="1"/>
  <c r="Q19" i="1" a="1"/>
  <c r="V19" i="1" a="1"/>
  <c r="V17" i="1" a="1"/>
  <c r="S15" i="1" a="1"/>
  <c r="P27" i="1" a="1"/>
  <c r="N17" i="1" a="1"/>
  <c r="T23" i="1" a="1"/>
  <c r="P33" i="1" a="1"/>
  <c r="P17" i="1" a="1"/>
  <c r="T21" i="1" a="1"/>
  <c r="Q41" i="1" a="1"/>
  <c r="N33" i="1" a="1"/>
  <c r="P23" i="1" a="1"/>
  <c r="Q21" i="1" a="1"/>
  <c r="Q23" i="1" a="1"/>
  <c r="S7" i="1" a="1"/>
  <c r="U21" i="1" a="1"/>
  <c r="S35" i="1" a="1"/>
  <c r="T39" i="1" a="1"/>
  <c r="Q39" i="1" a="1"/>
  <c r="M43" i="1" a="1"/>
  <c r="R45" i="1" a="1"/>
  <c r="O33" i="1" a="1"/>
  <c r="P45" i="1" a="1"/>
  <c r="R31" i="1" a="1"/>
  <c r="U13" i="1" a="1"/>
  <c r="S9" i="1" a="1"/>
  <c r="U15" i="1" a="1"/>
  <c r="S33" i="1" a="1"/>
  <c r="P41" i="1" a="1"/>
  <c r="P21" i="1" a="1"/>
  <c r="M31" i="1" a="1"/>
  <c r="P35" i="1" a="1"/>
  <c r="T27" i="1" a="1"/>
  <c r="V23" i="1" a="1"/>
  <c r="O7" i="1" a="1"/>
  <c r="V33" i="1" a="1"/>
  <c r="V37" i="1" a="1"/>
  <c r="O39" i="1" a="1"/>
  <c r="U43" i="1" a="1"/>
  <c r="O29" i="1" a="1"/>
  <c r="S19" i="1" a="1"/>
  <c r="M39" i="1" a="1"/>
  <c r="M27" i="1" a="1"/>
  <c r="T25" i="1" a="1"/>
  <c r="V45" i="1" a="1"/>
  <c r="M17" i="1" a="1"/>
  <c r="R17" i="1" a="1"/>
  <c r="S45" i="1" a="1"/>
  <c r="R11" i="1" a="1"/>
  <c r="N11" i="1" a="1"/>
  <c r="M29" i="1" a="1"/>
  <c r="N9" i="1" a="1"/>
  <c r="S11" i="1" a="1"/>
  <c r="O19" i="1" a="1"/>
  <c r="R23" i="1" a="1"/>
  <c r="Q33" i="1" a="1"/>
  <c r="U35" i="1" a="1"/>
  <c r="V41" i="1" a="1"/>
  <c r="T43" i="1" a="1"/>
  <c r="P43" i="1" a="1"/>
  <c r="M11" i="1" a="1"/>
  <c r="T41" i="1" a="1"/>
  <c r="O9" i="1" a="1"/>
  <c r="O17" i="1" a="1"/>
  <c r="S13" i="1" a="1"/>
  <c r="O31" i="1" a="1"/>
  <c r="V35" i="1" a="1"/>
  <c r="S41" i="1" a="1"/>
  <c r="S27" i="1" a="1"/>
  <c r="N43" i="1" a="1"/>
  <c r="M35" i="1" a="1"/>
  <c r="Q25" i="1" a="1"/>
  <c r="R25" i="1" a="1"/>
  <c r="P9" i="1" a="1"/>
  <c r="P39" i="1" a="1"/>
  <c r="O21" i="1" a="1"/>
  <c r="V7" i="1" a="1"/>
  <c r="V21" i="1" a="1"/>
  <c r="V39" i="1" a="1"/>
  <c r="R27" i="1" a="1"/>
  <c r="O13" i="1" a="1"/>
  <c r="P11" i="1" a="1"/>
  <c r="V15" i="1" a="1"/>
  <c r="Q43" i="1" a="1"/>
  <c r="Q9" i="1" a="1"/>
  <c r="M7" i="1" a="1"/>
  <c r="Q15" i="1" a="1"/>
  <c r="M45" i="1" a="1"/>
  <c r="M15" i="1" a="1"/>
  <c r="V11" i="1" a="1"/>
  <c r="S31" i="1" a="1"/>
  <c r="Q31" i="1" a="1"/>
  <c r="U45" i="1" a="1"/>
  <c r="T37" i="1" a="1"/>
  <c r="R43" i="1" a="1"/>
  <c r="S21" i="1" a="1"/>
  <c r="P29" i="1" a="1"/>
  <c r="U27" i="1" l="1"/>
  <c r="M27" i="1"/>
  <c r="O27" i="1"/>
  <c r="S27" i="1"/>
  <c r="N27" i="1"/>
  <c r="P27" i="1"/>
  <c r="R27" i="1"/>
  <c r="T27" i="1"/>
  <c r="V27" i="1"/>
  <c r="Q27" i="1"/>
  <c r="M45" i="1"/>
  <c r="U45" i="1"/>
  <c r="Q45" i="1"/>
  <c r="N45" i="1"/>
  <c r="P45" i="1"/>
  <c r="R45" i="1"/>
  <c r="T45" i="1"/>
  <c r="V45" i="1"/>
  <c r="O45" i="1"/>
  <c r="S45" i="1"/>
  <c r="M43" i="1"/>
  <c r="U43" i="1"/>
  <c r="O43" i="1"/>
  <c r="Q43" i="1"/>
  <c r="S43" i="1"/>
  <c r="N43" i="1"/>
  <c r="P43" i="1"/>
  <c r="R43" i="1"/>
  <c r="T43" i="1"/>
  <c r="V43" i="1"/>
  <c r="M41" i="1"/>
  <c r="O41" i="1"/>
  <c r="Q41" i="1"/>
  <c r="S41" i="1"/>
  <c r="U41" i="1"/>
  <c r="N41" i="1"/>
  <c r="P41" i="1"/>
  <c r="R41" i="1"/>
  <c r="T41" i="1"/>
  <c r="V41" i="1"/>
  <c r="M39" i="1"/>
  <c r="O39" i="1"/>
  <c r="Q39" i="1"/>
  <c r="S39" i="1"/>
  <c r="U39" i="1"/>
  <c r="N39" i="1"/>
  <c r="P39" i="1"/>
  <c r="R39" i="1"/>
  <c r="T39" i="1"/>
  <c r="V39" i="1"/>
  <c r="M37" i="1"/>
  <c r="U37" i="1"/>
  <c r="O37" i="1"/>
  <c r="S37" i="1"/>
  <c r="N37" i="1"/>
  <c r="P37" i="1"/>
  <c r="R37" i="1"/>
  <c r="T37" i="1"/>
  <c r="V37" i="1"/>
  <c r="Q37" i="1"/>
  <c r="U35" i="1"/>
  <c r="M35" i="1"/>
  <c r="O35" i="1"/>
  <c r="S35" i="1"/>
  <c r="N35" i="1"/>
  <c r="P35" i="1"/>
  <c r="R35" i="1"/>
  <c r="T35" i="1"/>
  <c r="V35" i="1"/>
  <c r="Q35" i="1"/>
  <c r="S33" i="1"/>
  <c r="M33" i="1"/>
  <c r="O33" i="1"/>
  <c r="Q33" i="1"/>
  <c r="N33" i="1"/>
  <c r="P33" i="1"/>
  <c r="R33" i="1"/>
  <c r="T33" i="1"/>
  <c r="V33" i="1"/>
  <c r="U33" i="1"/>
  <c r="S31" i="1"/>
  <c r="M31" i="1"/>
  <c r="O31" i="1"/>
  <c r="U31" i="1"/>
  <c r="N31" i="1"/>
  <c r="P31" i="1"/>
  <c r="R31" i="1"/>
  <c r="T31" i="1"/>
  <c r="V31" i="1"/>
  <c r="Q31" i="1"/>
  <c r="M29" i="1"/>
  <c r="O29" i="1"/>
  <c r="Q29" i="1"/>
  <c r="S29" i="1"/>
  <c r="U29" i="1"/>
  <c r="N29" i="1"/>
  <c r="P29" i="1"/>
  <c r="R29" i="1"/>
  <c r="T29" i="1"/>
  <c r="V29" i="1"/>
  <c r="O25" i="1"/>
  <c r="U25" i="1"/>
  <c r="M25" i="1"/>
  <c r="S25" i="1"/>
  <c r="Q25" i="1"/>
  <c r="N25" i="1"/>
  <c r="P25" i="1"/>
  <c r="R25" i="1"/>
  <c r="T25" i="1"/>
  <c r="V25" i="1"/>
  <c r="M23" i="1"/>
  <c r="U23" i="1"/>
  <c r="O23" i="1"/>
  <c r="S23" i="1"/>
  <c r="N23" i="1"/>
  <c r="P23" i="1"/>
  <c r="R23" i="1"/>
  <c r="T23" i="1"/>
  <c r="V23" i="1"/>
  <c r="Q23" i="1"/>
  <c r="O21" i="1"/>
  <c r="U21" i="1"/>
  <c r="Q21" i="1"/>
  <c r="N21" i="1"/>
  <c r="P21" i="1"/>
  <c r="R21" i="1"/>
  <c r="T21" i="1"/>
  <c r="V21" i="1"/>
  <c r="M21" i="1"/>
  <c r="S21" i="1"/>
  <c r="O19" i="1"/>
  <c r="S19" i="1"/>
  <c r="U19" i="1"/>
  <c r="Q19" i="1"/>
  <c r="N19" i="1"/>
  <c r="P19" i="1"/>
  <c r="R19" i="1"/>
  <c r="T19" i="1"/>
  <c r="V19" i="1"/>
  <c r="M19" i="1"/>
  <c r="M17" i="1"/>
  <c r="O17" i="1"/>
  <c r="Q17" i="1"/>
  <c r="S17" i="1"/>
  <c r="U17" i="1"/>
  <c r="N17" i="1"/>
  <c r="P17" i="1"/>
  <c r="R17" i="1"/>
  <c r="T17" i="1"/>
  <c r="V17" i="1"/>
  <c r="Q15" i="1"/>
  <c r="M15" i="1"/>
  <c r="O15" i="1"/>
  <c r="S15" i="1"/>
  <c r="N15" i="1"/>
  <c r="P15" i="1"/>
  <c r="R15" i="1"/>
  <c r="T15" i="1"/>
  <c r="V15" i="1"/>
  <c r="U15" i="1"/>
  <c r="U13" i="1"/>
  <c r="M13" i="1"/>
  <c r="Q13" i="1"/>
  <c r="S13" i="1"/>
  <c r="N13" i="1"/>
  <c r="P13" i="1"/>
  <c r="R13" i="1"/>
  <c r="T13" i="1"/>
  <c r="V13" i="1"/>
  <c r="O13" i="1"/>
  <c r="M11" i="1"/>
  <c r="O11" i="1"/>
  <c r="Q11" i="1"/>
  <c r="S11" i="1"/>
  <c r="U11" i="1"/>
  <c r="N11" i="1"/>
  <c r="P11" i="1"/>
  <c r="R11" i="1"/>
  <c r="T11" i="1"/>
  <c r="V11" i="1"/>
  <c r="M9" i="1"/>
  <c r="Q9" i="1"/>
  <c r="U9" i="1"/>
  <c r="O9" i="1"/>
  <c r="N9" i="1"/>
  <c r="P9" i="1"/>
  <c r="R9" i="1"/>
  <c r="T9" i="1"/>
  <c r="V9" i="1"/>
  <c r="S9" i="1"/>
  <c r="M7" i="1"/>
  <c r="O7" i="1"/>
  <c r="Q7" i="1"/>
  <c r="S7" i="1"/>
  <c r="U7" i="1"/>
  <c r="N7" i="1"/>
  <c r="P7" i="1"/>
  <c r="R7" i="1"/>
  <c r="T7" i="1"/>
  <c r="V7" i="1"/>
  <c r="N6" i="1" a="1"/>
  <c r="S6" i="1" a="1"/>
  <c r="V6" i="1" a="1"/>
  <c r="P6" i="1" a="1"/>
  <c r="Q6" i="1" a="1"/>
  <c r="T6" i="1" a="1"/>
  <c r="U6" i="1" a="1"/>
  <c r="O6" i="1" a="1"/>
  <c r="R6" i="1" a="1"/>
  <c r="P44" i="1" a="1"/>
  <c r="U32" i="1" a="1"/>
  <c r="U26" i="1" a="1"/>
  <c r="R28" i="1" a="1"/>
  <c r="V20" i="1" a="1"/>
  <c r="O10" i="1" a="1"/>
  <c r="S34" i="1" a="1"/>
  <c r="Q18" i="1" a="1"/>
  <c r="U30" i="1" a="1"/>
  <c r="U18" i="1" a="1"/>
  <c r="Q24" i="1" a="1"/>
  <c r="P40" i="1" a="1"/>
  <c r="Q36" i="1" a="1"/>
  <c r="S40" i="1" a="1"/>
  <c r="Q8" i="1" a="1"/>
  <c r="U38" i="1" a="1"/>
  <c r="R22" i="1" a="1"/>
  <c r="T14" i="1" a="1"/>
  <c r="O26" i="1" a="1"/>
  <c r="N8" i="1" a="1"/>
  <c r="S42" i="1" a="1"/>
  <c r="S28" i="1" a="1"/>
  <c r="P20" i="1" a="1"/>
  <c r="U22" i="1" a="1"/>
  <c r="T28" i="1" a="1"/>
  <c r="P24" i="1" a="1"/>
  <c r="S44" i="1" a="1"/>
  <c r="T12" i="1" a="1"/>
  <c r="N24" i="1" a="1"/>
  <c r="T24" i="1" a="1"/>
  <c r="P8" i="1" a="1"/>
  <c r="P22" i="1" a="1"/>
  <c r="P28" i="1" a="1"/>
  <c r="V36" i="1" a="1"/>
  <c r="N12" i="1" a="1"/>
  <c r="O34" i="1" a="1"/>
  <c r="R40" i="1" a="1"/>
  <c r="Q40" i="1" a="1"/>
  <c r="N26" i="1" a="1"/>
  <c r="V18" i="1" a="1"/>
  <c r="Q38" i="1" a="1"/>
  <c r="T20" i="1" a="1"/>
  <c r="S26" i="1" a="1"/>
  <c r="S12" i="1" a="1"/>
  <c r="O22" i="1" a="1"/>
  <c r="S16" i="1" a="1"/>
  <c r="U28" i="1" a="1"/>
  <c r="Q14" i="1" a="1"/>
  <c r="R26" i="1" a="1"/>
  <c r="R44" i="1" a="1"/>
  <c r="P14" i="1" a="1"/>
  <c r="S8" i="1" a="1"/>
  <c r="O24" i="1" a="1"/>
  <c r="Q22" i="1" a="1"/>
  <c r="S22" i="1" a="1"/>
  <c r="T10" i="1" a="1"/>
  <c r="N14" i="1" a="1"/>
  <c r="R36" i="1" a="1"/>
  <c r="V24" i="1" a="1"/>
  <c r="T30" i="1" a="1"/>
  <c r="P10" i="1" a="1"/>
  <c r="R16" i="1" a="1"/>
  <c r="O30" i="1" a="1"/>
  <c r="R38" i="1" a="1"/>
  <c r="N36" i="1" a="1"/>
  <c r="Q20" i="1" a="1"/>
  <c r="V38" i="1" a="1"/>
  <c r="N40" i="1" a="1"/>
  <c r="S36" i="1" a="1"/>
  <c r="Q34" i="1" a="1"/>
  <c r="N20" i="1" a="1"/>
  <c r="R24" i="1" a="1"/>
  <c r="T34" i="1" a="1"/>
  <c r="Q42" i="1" a="1"/>
  <c r="O8" i="1" a="1"/>
  <c r="N28" i="1" a="1"/>
  <c r="O36" i="1" a="1"/>
  <c r="R18" i="1" a="1"/>
  <c r="T18" i="1" a="1"/>
  <c r="V26" i="1" a="1"/>
  <c r="P38" i="1" a="1"/>
  <c r="T26" i="1" a="1"/>
  <c r="P34" i="1" a="1"/>
  <c r="P32" i="1" a="1"/>
  <c r="P30" i="1" a="1"/>
  <c r="N44" i="1" a="1"/>
  <c r="N22" i="1" a="1"/>
  <c r="T44" i="1" a="1"/>
  <c r="Q32" i="1" a="1"/>
  <c r="N10" i="1" a="1"/>
  <c r="O20" i="1" a="1"/>
  <c r="V10" i="1" a="1"/>
  <c r="Q44" i="1" a="1"/>
  <c r="R8" i="1" a="1"/>
  <c r="V14" i="1" a="1"/>
  <c r="P42" i="1" a="1"/>
  <c r="U34" i="1" a="1"/>
  <c r="O16" i="1" a="1"/>
  <c r="Q10" i="1" a="1"/>
  <c r="R42" i="1" a="1"/>
  <c r="U20" i="1" a="1"/>
  <c r="T42" i="1" a="1"/>
  <c r="V8" i="1" a="1"/>
  <c r="O42" i="1" a="1"/>
  <c r="T40" i="1" a="1"/>
  <c r="O40" i="1" a="1"/>
  <c r="V30" i="1" a="1"/>
  <c r="V16" i="1" a="1"/>
  <c r="V34" i="1" a="1"/>
  <c r="N42" i="1" a="1"/>
  <c r="S20" i="1" a="1"/>
  <c r="P12" i="1" a="1"/>
  <c r="V44" i="1" a="1"/>
  <c r="Q26" i="1" a="1"/>
  <c r="V22" i="1" a="1"/>
  <c r="T22" i="1" a="1"/>
  <c r="O44" i="1" a="1"/>
  <c r="O28" i="1" a="1"/>
  <c r="U24" i="1" a="1"/>
  <c r="Q28" i="1" a="1"/>
  <c r="O38" i="1" a="1"/>
  <c r="T38" i="1" a="1"/>
  <c r="R34" i="1" a="1"/>
  <c r="R32" i="1" a="1"/>
  <c r="N34" i="1" a="1"/>
  <c r="U14" i="1" a="1"/>
  <c r="Q16" i="1" a="1"/>
  <c r="N32" i="1" a="1"/>
  <c r="T16" i="1" a="1"/>
  <c r="R12" i="1" a="1"/>
  <c r="R20" i="1" a="1"/>
  <c r="Q12" i="1" a="1"/>
  <c r="O12" i="1" a="1"/>
  <c r="U12" i="1" a="1"/>
  <c r="T32" i="1" a="1"/>
  <c r="U8" i="1" a="1"/>
  <c r="N16" i="1" a="1"/>
  <c r="Q30" i="1" a="1"/>
  <c r="U16" i="1" a="1"/>
  <c r="P18" i="1" a="1"/>
  <c r="U42" i="1" a="1"/>
  <c r="S38" i="1" a="1"/>
  <c r="P16" i="1" a="1"/>
  <c r="R10" i="1" a="1"/>
  <c r="P26" i="1" a="1"/>
  <c r="V12" i="1" a="1"/>
  <c r="S14" i="1" a="1"/>
  <c r="V28" i="1" a="1"/>
  <c r="S32" i="1" a="1"/>
  <c r="S24" i="1" a="1"/>
  <c r="T36" i="1" a="1"/>
  <c r="U44" i="1" a="1"/>
  <c r="O14" i="1" a="1"/>
  <c r="N30" i="1" a="1"/>
  <c r="V42" i="1" a="1"/>
  <c r="U36" i="1" a="1"/>
  <c r="N38" i="1" a="1"/>
  <c r="R30" i="1" a="1"/>
  <c r="T8" i="1" a="1"/>
  <c r="S30" i="1" a="1"/>
  <c r="V40" i="1" a="1"/>
  <c r="R14" i="1" a="1"/>
  <c r="U40" i="1" a="1"/>
  <c r="S10" i="1" a="1"/>
  <c r="O32" i="1" a="1"/>
  <c r="O18" i="1" a="1"/>
  <c r="V32" i="1" a="1"/>
  <c r="N18" i="1" a="1"/>
  <c r="U10" i="1" a="1"/>
  <c r="P36" i="1" a="1"/>
  <c r="S18" i="1" a="1"/>
  <c r="T8" i="1" l="1"/>
  <c r="P12" i="1"/>
  <c r="T14" i="1"/>
  <c r="P18" i="1"/>
  <c r="T20" i="1"/>
  <c r="T22" i="1"/>
  <c r="P26" i="1"/>
  <c r="P28" i="1"/>
  <c r="Q30" i="1"/>
  <c r="Q34" i="1"/>
  <c r="Q38" i="1"/>
  <c r="Q6" i="1"/>
  <c r="Q8" i="1"/>
  <c r="U8" i="1"/>
  <c r="U10" i="1"/>
  <c r="Q12" i="1"/>
  <c r="U12" i="1"/>
  <c r="Q14" i="1"/>
  <c r="U14" i="1"/>
  <c r="Q16" i="1"/>
  <c r="U16" i="1"/>
  <c r="Q18" i="1"/>
  <c r="U18" i="1"/>
  <c r="Q20" i="1"/>
  <c r="U20" i="1"/>
  <c r="Q22" i="1"/>
  <c r="U22" i="1"/>
  <c r="Q24" i="1"/>
  <c r="U24" i="1"/>
  <c r="Q26" i="1"/>
  <c r="U26" i="1"/>
  <c r="Q28" i="1"/>
  <c r="U28" i="1"/>
  <c r="S30" i="1"/>
  <c r="S32" i="1"/>
  <c r="S34" i="1"/>
  <c r="S36" i="1"/>
  <c r="S38" i="1"/>
  <c r="S40" i="1"/>
  <c r="P6" i="1"/>
  <c r="P8" i="1"/>
  <c r="T10" i="1"/>
  <c r="P14" i="1"/>
  <c r="T16" i="1"/>
  <c r="P20" i="1"/>
  <c r="P22" i="1"/>
  <c r="T24" i="1"/>
  <c r="T26" i="1"/>
  <c r="T28" i="1"/>
  <c r="Q32" i="1"/>
  <c r="Q36" i="1"/>
  <c r="Q40" i="1"/>
  <c r="U6" i="1"/>
  <c r="Q10" i="1"/>
  <c r="R6" i="1"/>
  <c r="V6" i="1"/>
  <c r="R8" i="1"/>
  <c r="V8" i="1"/>
  <c r="R10" i="1"/>
  <c r="V10" i="1"/>
  <c r="R12" i="1"/>
  <c r="V12" i="1"/>
  <c r="R14" i="1"/>
  <c r="V14" i="1"/>
  <c r="R16" i="1"/>
  <c r="V16" i="1"/>
  <c r="R18" i="1"/>
  <c r="V18" i="1"/>
  <c r="R20" i="1"/>
  <c r="V20" i="1"/>
  <c r="R22" i="1"/>
  <c r="V22" i="1"/>
  <c r="R24" i="1"/>
  <c r="V24" i="1"/>
  <c r="R26" i="1"/>
  <c r="V26" i="1"/>
  <c r="R28" i="1"/>
  <c r="V28" i="1"/>
  <c r="U30" i="1"/>
  <c r="U32" i="1"/>
  <c r="U34" i="1"/>
  <c r="U36" i="1"/>
  <c r="U38" i="1"/>
  <c r="U40" i="1"/>
  <c r="T6" i="1"/>
  <c r="P10" i="1"/>
  <c r="T12" i="1"/>
  <c r="P16" i="1"/>
  <c r="T18" i="1"/>
  <c r="P24" i="1"/>
  <c r="O6" i="1"/>
  <c r="S6" i="1"/>
  <c r="O8" i="1"/>
  <c r="S8" i="1"/>
  <c r="O10" i="1"/>
  <c r="S10" i="1"/>
  <c r="O12" i="1"/>
  <c r="S12" i="1"/>
  <c r="O14" i="1"/>
  <c r="S14" i="1"/>
  <c r="O16" i="1"/>
  <c r="S16" i="1"/>
  <c r="O18" i="1"/>
  <c r="S18" i="1"/>
  <c r="O20" i="1"/>
  <c r="S20" i="1"/>
  <c r="O22" i="1"/>
  <c r="S22" i="1"/>
  <c r="O24" i="1"/>
  <c r="S24" i="1"/>
  <c r="O26" i="1"/>
  <c r="S26" i="1"/>
  <c r="O28" i="1"/>
  <c r="S28" i="1"/>
  <c r="O30" i="1"/>
  <c r="O32" i="1"/>
  <c r="O34" i="1"/>
  <c r="O36" i="1"/>
  <c r="O38" i="1"/>
  <c r="O40" i="1"/>
  <c r="O42" i="1"/>
  <c r="Q42" i="1"/>
  <c r="S42" i="1"/>
  <c r="U42" i="1"/>
  <c r="O44" i="1"/>
  <c r="Q44" i="1"/>
  <c r="S44" i="1"/>
  <c r="U44" i="1"/>
  <c r="P30" i="1"/>
  <c r="V30" i="1"/>
  <c r="R32" i="1"/>
  <c r="V32" i="1"/>
  <c r="R34" i="1"/>
  <c r="V34" i="1"/>
  <c r="P36" i="1"/>
  <c r="R36" i="1"/>
  <c r="T36" i="1"/>
  <c r="V36" i="1"/>
  <c r="P38" i="1"/>
  <c r="T38" i="1"/>
  <c r="V38" i="1"/>
  <c r="P40" i="1"/>
  <c r="R40" i="1"/>
  <c r="T40" i="1"/>
  <c r="V40" i="1"/>
  <c r="P42" i="1"/>
  <c r="R42" i="1"/>
  <c r="T42" i="1"/>
  <c r="V42" i="1"/>
  <c r="P44" i="1"/>
  <c r="R44" i="1"/>
  <c r="T44" i="1"/>
  <c r="V44" i="1"/>
  <c r="R30" i="1"/>
  <c r="T30" i="1"/>
  <c r="P32" i="1"/>
  <c r="T32" i="1"/>
  <c r="P34" i="1"/>
  <c r="T34" i="1"/>
  <c r="R38" i="1"/>
  <c r="N38" i="1"/>
  <c r="N42" i="1"/>
  <c r="N34" i="1"/>
  <c r="N30" i="1"/>
  <c r="N44" i="1"/>
  <c r="N40" i="1"/>
  <c r="N36" i="1"/>
  <c r="N32" i="1"/>
  <c r="N28" i="1"/>
  <c r="N26" i="1"/>
  <c r="N22" i="1"/>
  <c r="N18" i="1"/>
  <c r="N10" i="1"/>
  <c r="N14" i="1"/>
  <c r="N24" i="1"/>
  <c r="N20" i="1"/>
  <c r="N16" i="1"/>
  <c r="N12" i="1"/>
  <c r="N8" i="1"/>
  <c r="N6" i="1"/>
  <c r="A28" i="1"/>
  <c r="A30" i="1"/>
  <c r="A32" i="1"/>
  <c r="A34" i="1"/>
  <c r="A36" i="1"/>
  <c r="A38" i="1"/>
  <c r="A40" i="1"/>
  <c r="A42" i="1"/>
  <c r="A26" i="1"/>
  <c r="A10" i="1"/>
  <c r="A12" i="1"/>
  <c r="A14" i="1"/>
  <c r="A16" i="1"/>
  <c r="A18" i="1"/>
  <c r="A20" i="1"/>
  <c r="A22" i="1"/>
  <c r="A24" i="1"/>
  <c r="M6" i="1" a="1"/>
  <c r="M38" i="1" a="1"/>
  <c r="M12" i="1" a="1"/>
  <c r="M16" i="1" a="1"/>
  <c r="M30" i="1" a="1"/>
  <c r="M42" i="1" a="1"/>
  <c r="M40" i="1" a="1"/>
  <c r="M26" i="1" a="1"/>
  <c r="M34" i="1" a="1"/>
  <c r="M22" i="1" a="1"/>
  <c r="M32" i="1" a="1"/>
  <c r="M14" i="1" a="1"/>
  <c r="M10" i="1" a="1"/>
  <c r="M18" i="1" a="1"/>
  <c r="M24" i="1" a="1"/>
  <c r="M28" i="1" a="1"/>
  <c r="M20" i="1" a="1"/>
  <c r="M44" i="1" a="1"/>
  <c r="M36" i="1" a="1"/>
  <c r="M8" i="1" a="1"/>
  <c r="M38" i="1" l="1"/>
  <c r="M30" i="1"/>
  <c r="M42" i="1"/>
  <c r="M34" i="1"/>
  <c r="M40" i="1"/>
  <c r="M32" i="1"/>
  <c r="M44" i="1"/>
  <c r="M36" i="1"/>
  <c r="M28" i="1"/>
  <c r="M26" i="1"/>
  <c r="M18" i="1"/>
  <c r="M10" i="1"/>
  <c r="M24" i="1"/>
  <c r="M16" i="1"/>
  <c r="M8" i="1"/>
  <c r="M22" i="1"/>
  <c r="M14" i="1"/>
  <c r="M20" i="1"/>
  <c r="M12" i="1"/>
  <c r="M6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<sst xmlns="http://schemas.openxmlformats.org/spreadsheetml/2006/main" count="134" uniqueCount="89">
  <si>
    <t>gain_ctrA0</t>
  </si>
  <si>
    <t>gain_ctrA1</t>
  </si>
  <si>
    <t>gain_ctrA2</t>
  </si>
  <si>
    <t>gain_ctrA3</t>
  </si>
  <si>
    <t>gain_ctrB0</t>
  </si>
  <si>
    <t>gain_ctrB1</t>
  </si>
  <si>
    <t>gain_ctrB2</t>
  </si>
  <si>
    <t>gain_ctrB3</t>
  </si>
  <si>
    <t>gain_ctrMA</t>
  </si>
  <si>
    <t>gain_ctrMB</t>
  </si>
  <si>
    <t>mix_chA_out</t>
  </si>
  <si>
    <t>over_flow_A</t>
  </si>
  <si>
    <t>over_flow_B</t>
  </si>
  <si>
    <t>mix_chB_out</t>
  </si>
  <si>
    <t>data_in</t>
  </si>
  <si>
    <t>out_A</t>
  </si>
  <si>
    <t>out_B</t>
  </si>
  <si>
    <t>Data</t>
  </si>
  <si>
    <t>Gain_MB</t>
  </si>
  <si>
    <t>Gain_MA</t>
  </si>
  <si>
    <t>Gain_B3</t>
  </si>
  <si>
    <t>Gain_B2</t>
  </si>
  <si>
    <t>Gain_B1</t>
  </si>
  <si>
    <t>Gain_B0</t>
  </si>
  <si>
    <t>Gain_A3</t>
  </si>
  <si>
    <t>Gain_A1</t>
  </si>
  <si>
    <t>Gain_A0</t>
  </si>
  <si>
    <t>Gain_A2</t>
  </si>
  <si>
    <t>Final output</t>
  </si>
  <si>
    <t>ID</t>
  </si>
  <si>
    <t>DESCRIPTION</t>
  </si>
  <si>
    <t>PROCEDURE</t>
  </si>
  <si>
    <t>EXPECT</t>
  </si>
  <si>
    <t>ACTUAL</t>
  </si>
  <si>
    <t>RESULT</t>
  </si>
  <si>
    <t>COMMENT</t>
  </si>
  <si>
    <t>PASS</t>
  </si>
  <si>
    <t>FAIL</t>
  </si>
  <si>
    <t>NA</t>
  </si>
  <si>
    <t>MUL_01</t>
  </si>
  <si>
    <t>Test multiply Data Input 16-bit with Gain Level 10-bit. NORMAL CASES</t>
  </si>
  <si>
    <t>MUL_02</t>
  </si>
  <si>
    <t>Test multiply Data Input 16-bit with Gain Level 10-bit. SPECIAL CASES (Results are higher than max/min value of 26-bit number)</t>
  </si>
  <si>
    <t>1. Data Input = 8094, Gain Level =  992
2. Data Input = -9651, Gain Level =  992
3. Data Input = 32767, Gain Level = 1/992
4. Data Input = -32768, Gain Level =  1/992
5. Data Input = 32767, Gain Level = 992
6. Data Input = -32768, Gain Level = 992</t>
  </si>
  <si>
    <t>LIM_01</t>
  </si>
  <si>
    <t>Test limit function for 16-bit result</t>
  </si>
  <si>
    <t>LIM_02</t>
  </si>
  <si>
    <t>Test limit function for 24-bit result</t>
  </si>
  <si>
    <t>1. Result = 343
2. Result = 0
3. Result = -8743
4. Result = 32767
5. Result = -32768
6. Result = 32767
7. Result = -32768</t>
  </si>
  <si>
    <t>OVF_01</t>
  </si>
  <si>
    <t>OVF_02</t>
  </si>
  <si>
    <t>1. Num1 = -34, Num2 = -8973, Num3 = -3243, Num4 = -6876
2. Num1 = -34, Num2 = -8973, Num3 = -3243, Num4 = -20743
3. Num1 = -1, Num2 = -1, Num3 = -1, Num4 = -32768</t>
  </si>
  <si>
    <t>OVF_03</t>
  </si>
  <si>
    <t>OVF_04</t>
  </si>
  <si>
    <t>OVF_05</t>
  </si>
  <si>
    <t>BHV_01</t>
  </si>
  <si>
    <t>Check on simulation waves</t>
  </si>
  <si>
    <t>The output sequence is Signal A -&gt; Signal B -&gt; Signal A -&gt; Signal B… with the duration between outputs as same as data input</t>
  </si>
  <si>
    <t>Check if the output sequence and the output's frequency</t>
  </si>
  <si>
    <t>BHV_02</t>
  </si>
  <si>
    <t>Check the result of output signal</t>
  </si>
  <si>
    <t xml:space="preserve">The value of output signal follow the picture
</t>
  </si>
  <si>
    <t>GAI_01</t>
  </si>
  <si>
    <t>Test for the conversion of gain level</t>
  </si>
  <si>
    <t>LOS_01</t>
  </si>
  <si>
    <t>Test for the conversion of loss level</t>
  </si>
  <si>
    <t>Set Data Input = 1
1. Gain Input = 0
2. Gain Input = b'00001 00000 (d'32)
3. Gain Input = b'00011 00000 (d'96)
4. Gain Input = b'00111 00000(d'224)
5. Gain Input = b'01111 00000(d'480)
6. Gain Input = b'11111 00000(d'992)</t>
  </si>
  <si>
    <t>1. Result = 0
2. Result = b'00001 00000 (d'32)
3. Result = b'00011 00000 (d'96)
4. Result = b'00111 00000(d'224)
5. Result = b'01111 00000(d'480)
6. Result = b'11111 00000(d'992)</t>
  </si>
  <si>
    <t>1. Result = b'00000 00001 00000 (d'-1)
2. Result = b'00000 00011 00000 (d'-1)
3. Result = b'00000 00111 00000(d'-1)
4. Result = b'00000 01111 00000(d'-1)
5. Result = b'00000 11111 00000(d'-1)</t>
  </si>
  <si>
    <t>1. Gain Input = b'00000 00001 (d'1),  Data Input = -512
2. Gain Input = b'00000 00011 (d'3),  Data Input = -768
3. Gain Input = b'00000 00111(d'7),  Data Input = -896
4. Gain Input = b'00000 01111(d'15),  Data Input = -960
5. Gain Input = b'00000 11111(d'31),  Data Input = -992</t>
  </si>
  <si>
    <t>1. Data Input = 0, Gain Level =  0
2. Data Input = 234, Gain Level =  0
3. Data Input = 0, Gain Level =  96
4. Data Input = 153, Gain Level = 32
5. Data Input = -61, Gain Level =  512
6. Data Input = 0, Gain Level = 1/32
7. Data Input = -10, Gain Level = 1/96
8. Data Input = 1024, Gain Level = 1/512
9. Data Input = -3784, Gain Level = 1/992</t>
  </si>
  <si>
    <t>1. Result = 0
2. Result = 234
3. Result = 0
4. Result = 4896
5. Result = -31,232
6. Result = 0
7. Result = 0
8. Result = 2
9. Result = -3</t>
  </si>
  <si>
    <t>1. Result = 8,029,248
2. Result = -9,573,792
3. Result = 33
4. Result = -33
5. Result = 32,504,864
6. Result =  -32,505,856</t>
  </si>
  <si>
    <t>1. Data Input = 343, Gain Level = 0
2. Data Input = 0, Gain Level = 0
3. Data Input = -8743, Gain Level = 0
4. Data Input = 32767, Gain Level = 0
5. Data Input = -32768, Gain Level = 0
6. Data Input = 32767, Gain Level = 992
7. Data Input = -32768, Gain Level = 992</t>
  </si>
  <si>
    <t>1. Result = 343
2. Result = 0
3. Result = -8743
4. Result = 32767
5. Result = -32768
6. Result = 8,388,607
7. Result = -8,388,608</t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</si>
  <si>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four 16-bit positive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</si>
  <si>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four 16-bit negative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</si>
  <si>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two 16-bit negative numbers and two 16-bit positive numbers</t>
    </r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</si>
  <si>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one 16-bit negative numbers and three 16-bit positive numbers</t>
    </r>
  </si>
  <si>
    <t>1. Num1 = 34, Num2 = 8973, Num3 = 3243, Num4 = 6876
2. Num1 = 34, Num2 = 8973, Num3 = 3243, Num4 = 20743
3. Num1 = 1, Num2 = 0, Num3 = 0, Num4 = 32767</t>
  </si>
  <si>
    <t>1. OverFlow = 00, Result = 19,126
2. OverFlow = 01, Result = 32,767
3. OverFlow = 01, Result = 32,767</t>
  </si>
  <si>
    <t>1. OverFlow = 00, Result = -19,126
2. OverFlow = 10, Result = -32,768
3. OverFlow = 10, Result = -32,768</t>
  </si>
  <si>
    <r>
      <t xml:space="preserve">Test over flow detection
</t>
    </r>
    <r>
      <rPr>
        <b/>
        <sz val="11"/>
        <color theme="1"/>
        <rFont val="Calibri"/>
        <family val="2"/>
        <scheme val="minor"/>
      </rPr>
      <t>Adding three 16-bit negative numbers and one 16-bit positive numbers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</si>
  <si>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-32768, Num2 = 0, Num3 = 0, Num4 = 0
2. Num1 = 8973, Num2 = -34, Num3 = 7243, Num4 = 2743
3. Num1 = 3276, Num2 = 1, Num3 = -323, Num4 = 323
4. Num1 = 323, Num2 = 1, Num3 = 3276, Num4 = -325
</t>
    </r>
    <r>
      <rPr>
        <b/>
        <sz val="11"/>
        <color theme="1"/>
        <rFont val="Calibri"/>
        <family val="2"/>
        <scheme val="minor"/>
      </rPr>
      <t>Overflow
1</t>
    </r>
    <r>
      <rPr>
        <sz val="11"/>
        <color theme="1"/>
        <rFont val="Calibri"/>
        <family val="2"/>
        <scheme val="minor"/>
      </rPr>
      <t>. Num1 = -32768, Num2 = 19873, Num3 = 32767, Num4 = 20743
2. Num1 = 19873, Num2 = -32768, Num3 = 32767, Num4 = 20743
3. Num1 = 19873, Num2 = 8973, Num3 = -3276, Num4 = 20743
4. Num1 = 19873, Num2 = 8973, Num3 = 28767, Num4 = -20743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</si>
  <si>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-32768
2. OverFlow = 00, Result = 18,925
3. OverFlow = 00, Result = 3,277
4. OverFlow = 00, Result = 3,275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01, Result = 32,767
2. OverFlow = 01, Result = 32,767
3. OverFlow = 01, Result = 32,767
4. OverFlow = 01, Result = 32,767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</si>
  <si>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32767, Num2 = -343, Num3 = -893, Num4 = -23423
2. Num1 = -343, Num2 = 32767, Num3 = -893, Num4 = -23423
3. Num1 = -343, Num2 = -893, Num3 = 32767, Num4 = -23423
4. Num1 = -343, Num2 = -893, Num3 = -23423, Num4 = 32767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Num1 = 3276, Num2 = -3403, Num3 = -18930, Num4 = -23423
2. Num1 = -3403, Num2 = 3276, Num3 = -18930, Num4 = -23423
3. Num1 = -3403, Num2 = -18930, Num3 = 3276, Num4 = -23423
4. Num1 = -3403, Num2 = -18930, Num3 = -23423, Num4 = 3276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</si>
  <si>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8,108
2. OverFlow = 00, Result = 8,108
3. OverFlow = 00, Result = 8,108
4. OverFlow = 00, Result = 8,108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10, Result = -32,768
2. OverFlow = 10, Result = -32,768
3. OverFlow = 10, Result = -32,768
4. OverFlow = 10, Result = -32,768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</si>
  <si>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Num1 = -32768, Num2 = -32767, Num3 = 32767, Num4 = 32767
2. Num1 = -34, Num2 = 8973, Num3 = -3243, Num4 = 20743
3. Num1 = -34, Num2 = 8973, Num3 = 20743, Num4 = -3243
4. Num1 = 8973, Num2 = -34, Num3 = -3243, Num4 = 20743
5. Num1 = 8973, Num2 = -34, Num3 = 20743, Num4 = -3243
6. Num1 = 8973, Num2 = 20743, Num3 = -34, Num4 = -3243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Num1 = -32768, Num2 = -32767, Num3 = 327, Num4 = 0
2. Num1 = -133, Num2 = 1873, Num3 = -232, Num4 = 32073
3. Num1 = -13344, Num2 = 897, Num3 = 2073, Num4 = -32243
4. Num1 = 21897, Num2 = -134, Num3 = -3243, Num4 = 20073
5. Num1 = 83, Num2 = -32034, Num3 = 73, Num4 = -3043
6. Num1 = 17029, Num2 = 23743, Num3 = -34, Num4 = -324</t>
    </r>
  </si>
  <si>
    <r>
      <rPr>
        <b/>
        <sz val="11"/>
        <color theme="1"/>
        <rFont val="Calibri"/>
        <family val="2"/>
        <scheme val="minor"/>
      </rPr>
      <t>No Overflow</t>
    </r>
    <r>
      <rPr>
        <sz val="11"/>
        <color theme="1"/>
        <rFont val="Calibri"/>
        <family val="2"/>
        <scheme val="minor"/>
      </rPr>
      <t xml:space="preserve">
1. OverFlow = 00, Result = -1
2. OverFlow = 00, Result = 26,439
3. OverFlow = 00, Result = 26,439
4. OverFlow = 00, Result = 26,439
5. OverFlow = 00, Result = 26,439
6. OverFlow = 00, Result = 26,439
</t>
    </r>
    <r>
      <rPr>
        <b/>
        <sz val="11"/>
        <color theme="1"/>
        <rFont val="Calibri"/>
        <family val="2"/>
        <scheme val="minor"/>
      </rPr>
      <t xml:space="preserve">Overflow
</t>
    </r>
    <r>
      <rPr>
        <sz val="11"/>
        <color theme="1"/>
        <rFont val="Calibri"/>
        <family val="2"/>
        <scheme val="minor"/>
      </rPr>
      <t>1. OverFlow = 10, Result = -32,768
2. OverFlow = 01, Result = 32,767
3. OverFlow = 10, Result = -32,768
4. OverFlow = 01, Result = -32,768
5. OverFlow = 10, Result = -32,768
6. OverFlow = 01, Result = -32,768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</si>
</sst>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0" fontId="0" fillId="4" borderId="0" xfId="0" applyFill="1"/>
    <xf numFmtId="1" fontId="0" fillId="0" borderId="0" xfId="0" applyNumberFormat="1"/>
    <xf numFmtId="1" fontId="0" fillId="2" borderId="0" xfId="0" applyNumberFormat="1" applyFill="1"/>
    <xf numFmtId="1" fontId="0" fillId="0" borderId="0" xfId="0" applyNumberFormat="1" applyFill="1"/>
    <xf numFmtId="0" fontId="0" fillId="0" borderId="0" xfId="0" applyNumberFormat="1"/>
    <xf numFmtId="0" fontId="0" fillId="0" borderId="0" xfId="0" applyAlignment="1">
      <alignment wrapText="1"/>
    </xf>
  </cellXfs>
  <cellStyles count="1">
    <cellStyle name="Normal" xfId="0" builtinId="0"/>
  </cellStyles>
  <dxfs count="3">
    <dxf>
      <fill>
        <patternFill>
          <bgColor rgb="FFFF0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47625</xdr:colOff>
      <xdr:row>3</xdr:row>
      <xdr:rowOff>133350</xdr:rowOff>
    </xdr:from>
    <xdr:to>
      <xdr:col>6</xdr:col>
      <xdr:colOff>7876196</xdr:colOff>
      <xdr:row>3</xdr:row>
      <xdr:rowOff>971445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EDFB1108-5D3D-4C20-AA9E-EF1A883C31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77925" y="704850"/>
          <a:ext cx="7828571" cy="838095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4</xdr:row>
      <xdr:rowOff>28575</xdr:rowOff>
    </xdr:from>
    <xdr:to>
      <xdr:col>6</xdr:col>
      <xdr:colOff>7333338</xdr:colOff>
      <xdr:row>4</xdr:row>
      <xdr:rowOff>876194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B53CC54B-88BD-4F90-A89E-B9CE75DB7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868400" y="1933575"/>
          <a:ext cx="7295238" cy="8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19050</xdr:colOff>
      <xdr:row>5</xdr:row>
      <xdr:rowOff>0</xdr:rowOff>
    </xdr:from>
    <xdr:to>
      <xdr:col>6</xdr:col>
      <xdr:colOff>6219050</xdr:colOff>
      <xdr:row>5</xdr:row>
      <xdr:rowOff>800000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D1671A1-6B7A-40AD-9CA0-0EC55346F5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030325" y="2857500"/>
          <a:ext cx="6200000" cy="80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5</xdr:row>
      <xdr:rowOff>866775</xdr:rowOff>
    </xdr:from>
    <xdr:to>
      <xdr:col>6</xdr:col>
      <xdr:colOff>6447619</xdr:colOff>
      <xdr:row>5</xdr:row>
      <xdr:rowOff>1676299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EA476C07-A9AC-4AE2-9986-20D5D6ABED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830300" y="3724275"/>
          <a:ext cx="6447619" cy="809524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6</xdr:row>
      <xdr:rowOff>133350</xdr:rowOff>
    </xdr:from>
    <xdr:to>
      <xdr:col>15</xdr:col>
      <xdr:colOff>379346</xdr:colOff>
      <xdr:row>6</xdr:row>
      <xdr:rowOff>990493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78ECA3C8-3F99-45D6-8643-92319940EF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4049375" y="4705350"/>
          <a:ext cx="13228571" cy="857143"/>
        </a:xfrm>
        <a:prstGeom prst="rect">
          <a:avLst/>
        </a:prstGeom>
      </xdr:spPr>
    </xdr:pic>
    <xdr:clientData/>
  </xdr:twoCellAnchor>
  <xdr:twoCellAnchor editAs="oneCell">
    <xdr:from>
      <xdr:col>6</xdr:col>
      <xdr:colOff>38100</xdr:colOff>
      <xdr:row>7</xdr:row>
      <xdr:rowOff>685800</xdr:rowOff>
    </xdr:from>
    <xdr:to>
      <xdr:col>12</xdr:col>
      <xdr:colOff>608146</xdr:colOff>
      <xdr:row>8</xdr:row>
      <xdr:rowOff>638014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BBB1BE3F-2862-43ED-A180-0BA7C4B4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4049375" y="6400800"/>
          <a:ext cx="11628571" cy="1285714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8</xdr:row>
      <xdr:rowOff>1285875</xdr:rowOff>
    </xdr:from>
    <xdr:to>
      <xdr:col>6</xdr:col>
      <xdr:colOff>7857146</xdr:colOff>
      <xdr:row>11</xdr:row>
      <xdr:rowOff>47470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6E50E1E9-0147-4F5E-8923-114D3ABEB6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039850" y="8334375"/>
          <a:ext cx="7828571" cy="1238095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11</xdr:row>
      <xdr:rowOff>1371600</xdr:rowOff>
    </xdr:from>
    <xdr:to>
      <xdr:col>8</xdr:col>
      <xdr:colOff>570355</xdr:colOff>
      <xdr:row>11</xdr:row>
      <xdr:rowOff>2619219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E97D7895-F0B3-4A35-854C-18ACE8C85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4039850" y="10896600"/>
          <a:ext cx="9161905" cy="12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13</xdr:row>
      <xdr:rowOff>0</xdr:rowOff>
    </xdr:from>
    <xdr:to>
      <xdr:col>6</xdr:col>
      <xdr:colOff>6980952</xdr:colOff>
      <xdr:row>13</xdr:row>
      <xdr:rowOff>1257143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36F446C-F668-43AB-890C-1B8BD087DD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011275" y="14097000"/>
          <a:ext cx="6980952" cy="1257143"/>
        </a:xfrm>
        <a:prstGeom prst="rect">
          <a:avLst/>
        </a:prstGeom>
      </xdr:spPr>
    </xdr:pic>
    <xdr:clientData/>
  </xdr:twoCellAnchor>
  <xdr:twoCellAnchor editAs="oneCell">
    <xdr:from>
      <xdr:col>6</xdr:col>
      <xdr:colOff>333375</xdr:colOff>
      <xdr:row>13</xdr:row>
      <xdr:rowOff>638175</xdr:rowOff>
    </xdr:from>
    <xdr:to>
      <xdr:col>6</xdr:col>
      <xdr:colOff>7314327</xdr:colOff>
      <xdr:row>13</xdr:row>
      <xdr:rowOff>1885794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B86CC724-CBE9-4AD2-8534-CFA0A0F039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344650" y="14735175"/>
          <a:ext cx="6980952" cy="12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28575</xdr:colOff>
      <xdr:row>11</xdr:row>
      <xdr:rowOff>66675</xdr:rowOff>
    </xdr:from>
    <xdr:to>
      <xdr:col>8</xdr:col>
      <xdr:colOff>522736</xdr:colOff>
      <xdr:row>11</xdr:row>
      <xdr:rowOff>1314294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D0D3AA3E-0417-4DDD-97F9-5276F865AE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039850" y="9591675"/>
          <a:ext cx="9114286" cy="1247619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12</xdr:row>
      <xdr:rowOff>0</xdr:rowOff>
    </xdr:from>
    <xdr:to>
      <xdr:col>6</xdr:col>
      <xdr:colOff>6961905</xdr:colOff>
      <xdr:row>12</xdr:row>
      <xdr:rowOff>1228571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96AF7FA1-197E-4594-AF94-24AE23CC10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4011275" y="12192000"/>
          <a:ext cx="6961905" cy="1228571"/>
        </a:xfrm>
        <a:prstGeom prst="rect">
          <a:avLst/>
        </a:prstGeom>
      </xdr:spPr>
    </xdr:pic>
    <xdr:clientData/>
  </xdr:twoCellAnchor>
  <xdr:twoCellAnchor editAs="oneCell">
    <xdr:from>
      <xdr:col>6</xdr:col>
      <xdr:colOff>323850</xdr:colOff>
      <xdr:row>12</xdr:row>
      <xdr:rowOff>561975</xdr:rowOff>
    </xdr:from>
    <xdr:to>
      <xdr:col>6</xdr:col>
      <xdr:colOff>7247659</xdr:colOff>
      <xdr:row>12</xdr:row>
      <xdr:rowOff>1838165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A941D748-5917-4C9E-A0E3-03A349F700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4335125" y="12753975"/>
          <a:ext cx="6923809" cy="127619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61363-33D5-4993-B1B1-0239555153E0}">
  <sheetPr codeName="Sheet1"/>
  <dimension ref="A1:Y49"/>
  <sheetViews>
    <sheetView zoomScale="85" zoomScaleNormal="85" workbookViewId="0">
      <selection activeCell="V13" sqref="V13"/>
    </sheetView>
  </sheetViews>
  <sheetFormatPr defaultRowHeight="15" x14ac:dyDescent="0.25"/>
  <cols>
    <col min="1" max="4" width="10.28515625" bestFit="1" customWidth="1"/>
    <col min="5" max="8" width="10.140625" bestFit="1" customWidth="1"/>
    <col min="9" max="9" width="11" bestFit="1" customWidth="1"/>
    <col min="10" max="10" width="10.85546875" bestFit="1" customWidth="1"/>
  </cols>
  <sheetData>
    <row r="1" spans="1:2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</v>
      </c>
    </row>
    <row r="2" spans="1:25" x14ac:dyDescent="0.25">
      <c r="W2">
        <v>0</v>
      </c>
    </row>
    <row r="3" spans="1:25" x14ac:dyDescent="0.25">
      <c r="W3">
        <v>0</v>
      </c>
    </row>
    <row r="4" spans="1:25" x14ac:dyDescent="0.25">
      <c r="W4">
        <v>0</v>
      </c>
    </row>
    <row r="5" spans="1:25" x14ac:dyDescent="0.25">
      <c r="W5">
        <v>0</v>
      </c>
    </row>
    <row r="6" spans="1:25" x14ac:dyDescent="0.25">
      <c r="A6" s="5">
        <v>0</v>
      </c>
      <c r="B6" s="5">
        <v>0</v>
      </c>
      <c r="C6" s="5">
        <v>0</v>
      </c>
      <c r="D6" s="5">
        <v>0</v>
      </c>
      <c r="E6" s="5">
        <v>0</v>
      </c>
      <c r="F6" s="5">
        <v>0</v>
      </c>
      <c r="G6" s="5">
        <v>0</v>
      </c>
      <c r="H6" s="5">
        <v>0</v>
      </c>
      <c r="I6" s="5">
        <v>0</v>
      </c>
      <c r="J6" s="5">
        <v>0</v>
      </c>
      <c r="K6">
        <f ca="1">RANDBETWEEN(-128,127)</f>
        <v>-23</v>
      </c>
      <c r="M6" cm="1">
        <f t="array" ref="M6">CalLoss(A6)</f>
        <v>0</v>
      </c>
      <c r="N6" cm="1">
        <f t="array" ref="N6">CalLoss(B6)</f>
        <v>0</v>
      </c>
      <c r="O6" cm="1">
        <f t="array" ref="O6">CalLoss(C6)</f>
        <v>0</v>
      </c>
      <c r="P6" cm="1">
        <f t="array" ref="P6">CalLoss(D6)</f>
        <v>0</v>
      </c>
      <c r="Q6" cm="1">
        <f t="array" ref="Q6">CalLoss(E6)</f>
        <v>0</v>
      </c>
      <c r="R6" cm="1">
        <f t="array" ref="R6">CalLoss(F6)</f>
        <v>0</v>
      </c>
      <c r="S6" cm="1">
        <f t="array" ref="S6">CalLoss(G6)</f>
        <v>0</v>
      </c>
      <c r="T6" cm="1">
        <f t="array" ref="T6">CalLoss(H6)</f>
        <v>0</v>
      </c>
      <c r="U6" cm="1">
        <f t="array" ref="U6">CalLoss(I6)</f>
        <v>0</v>
      </c>
      <c r="V6" cm="1">
        <f t="array" ref="V6">CalLoss(J6)</f>
        <v>0</v>
      </c>
      <c r="W6">
        <v>75</v>
      </c>
      <c r="X6">
        <v>47</v>
      </c>
      <c r="Y6">
        <v>75</v>
      </c>
    </row>
    <row r="7" spans="1:25" s="1" customFormat="1" x14ac:dyDescent="0.25">
      <c r="A7" s="7">
        <f ca="1">_xlfn.BITLSHIFT(RANDBETWEEN(0,1),5)</f>
        <v>0</v>
      </c>
      <c r="B7" s="7">
        <f t="shared" ref="B7:J7" ca="1" si="0">_xlfn.BITLSHIFT(RANDBETWEEN(0,1),5)</f>
        <v>32</v>
      </c>
      <c r="C7" s="7">
        <f t="shared" ca="1" si="0"/>
        <v>32</v>
      </c>
      <c r="D7" s="7">
        <f t="shared" ca="1" si="0"/>
        <v>32</v>
      </c>
      <c r="E7" s="7">
        <f t="shared" ca="1" si="0"/>
        <v>32</v>
      </c>
      <c r="F7" s="7">
        <f t="shared" ca="1" si="0"/>
        <v>32</v>
      </c>
      <c r="G7" s="7">
        <f t="shared" ca="1" si="0"/>
        <v>0</v>
      </c>
      <c r="H7" s="7">
        <f t="shared" ca="1" si="0"/>
        <v>0</v>
      </c>
      <c r="I7" s="7">
        <f t="shared" ca="1" si="0"/>
        <v>0</v>
      </c>
      <c r="J7" s="7">
        <f t="shared" ca="1" si="0"/>
        <v>0</v>
      </c>
      <c r="K7">
        <f t="shared" ref="K7:K45" ca="1" si="1">RANDBETWEEN(-128,127)</f>
        <v>44</v>
      </c>
      <c r="M7" cm="1">
        <f t="array" aca="1" ref="M7" ca="1">CalGain(A7)</f>
        <v>0</v>
      </c>
      <c r="N7" cm="1">
        <f t="array" aca="1" ref="N7" ca="1">CalGain(B7)</f>
        <v>32</v>
      </c>
      <c r="O7" cm="1">
        <f t="array" aca="1" ref="O7" ca="1">CalGain(C7)</f>
        <v>32</v>
      </c>
      <c r="P7" cm="1">
        <f t="array" aca="1" ref="P7" ca="1">CalGain(D7)</f>
        <v>32</v>
      </c>
      <c r="Q7" cm="1">
        <f t="array" aca="1" ref="Q7" ca="1">CalGain(E7)</f>
        <v>32</v>
      </c>
      <c r="R7" cm="1">
        <f t="array" aca="1" ref="R7" ca="1">CalGain(F7)</f>
        <v>32</v>
      </c>
      <c r="S7" cm="1">
        <f t="array" aca="1" ref="S7" ca="1">CalGain(G7)</f>
        <v>0</v>
      </c>
      <c r="T7" cm="1">
        <f t="array" aca="1" ref="T7" ca="1">CalGain(H7)</f>
        <v>0</v>
      </c>
      <c r="U7" cm="1">
        <f t="array" aca="1" ref="U7" ca="1">CalGain(I7)</f>
        <v>0</v>
      </c>
      <c r="V7" cm="1">
        <f t="array" aca="1" ref="V7" ca="1">CalGain(J7)</f>
        <v>0</v>
      </c>
      <c r="W7" s="1">
        <v>104800</v>
      </c>
      <c r="X7" s="1">
        <v>-17</v>
      </c>
      <c r="Y7" s="1">
        <v>-17</v>
      </c>
    </row>
    <row r="8" spans="1:25" x14ac:dyDescent="0.25">
      <c r="A8" s="5">
        <f ca="1">RANDBETWEEN(20, 31)</f>
        <v>29</v>
      </c>
      <c r="B8" s="5">
        <f t="shared" ref="B8:J8" ca="1" si="2">RANDBETWEEN(20, 31)</f>
        <v>29</v>
      </c>
      <c r="C8" s="5">
        <f t="shared" ca="1" si="2"/>
        <v>20</v>
      </c>
      <c r="D8" s="5">
        <f t="shared" ca="1" si="2"/>
        <v>28</v>
      </c>
      <c r="E8" s="5">
        <f t="shared" ca="1" si="2"/>
        <v>27</v>
      </c>
      <c r="F8" s="5">
        <f t="shared" ca="1" si="2"/>
        <v>26</v>
      </c>
      <c r="G8" s="5">
        <f t="shared" ca="1" si="2"/>
        <v>29</v>
      </c>
      <c r="H8" s="5">
        <f t="shared" ca="1" si="2"/>
        <v>26</v>
      </c>
      <c r="I8" s="5">
        <f t="shared" ca="1" si="2"/>
        <v>28</v>
      </c>
      <c r="J8" s="5">
        <f t="shared" ca="1" si="2"/>
        <v>24</v>
      </c>
      <c r="K8">
        <f t="shared" ca="1" si="1"/>
        <v>4</v>
      </c>
      <c r="M8" cm="1">
        <f t="array" aca="1" ref="M8" ca="1">CalLoss(A8)</f>
        <v>736</v>
      </c>
      <c r="N8" cm="1">
        <f t="array" aca="1" ref="N8" ca="1">CalLoss(B8)</f>
        <v>736</v>
      </c>
      <c r="O8" cm="1">
        <f t="array" aca="1" ref="O8" ca="1">CalLoss(C8)</f>
        <v>160</v>
      </c>
      <c r="P8" cm="1">
        <f t="array" aca="1" ref="P8" ca="1">CalLoss(D8)</f>
        <v>224</v>
      </c>
      <c r="Q8" cm="1">
        <f t="array" aca="1" ref="Q8" ca="1">CalLoss(E8)</f>
        <v>864</v>
      </c>
      <c r="R8" cm="1">
        <f t="array" aca="1" ref="R8" ca="1">CalLoss(F8)</f>
        <v>352</v>
      </c>
      <c r="S8" cm="1">
        <f t="array" aca="1" ref="S8" ca="1">CalLoss(G8)</f>
        <v>736</v>
      </c>
      <c r="T8" cm="1">
        <f t="array" aca="1" ref="T8" ca="1">CalLoss(H8)</f>
        <v>352</v>
      </c>
      <c r="U8" cm="1">
        <f t="array" aca="1" ref="U8" ca="1">CalLoss(I8)</f>
        <v>224</v>
      </c>
      <c r="V8" cm="1">
        <f t="array" aca="1" ref="V8" ca="1">CalLoss(J8)</f>
        <v>96</v>
      </c>
      <c r="W8">
        <v>93</v>
      </c>
      <c r="X8">
        <v>0</v>
      </c>
      <c r="Y8">
        <v>93</v>
      </c>
    </row>
    <row r="9" spans="1:25" s="1" customFormat="1" x14ac:dyDescent="0.25">
      <c r="A9" s="7">
        <f t="shared" ref="A9:J9" ca="1" si="3">_xlfn.BITLSHIFT(RANDBETWEEN(0,31),5)</f>
        <v>672</v>
      </c>
      <c r="B9" s="7">
        <f t="shared" ca="1" si="3"/>
        <v>384</v>
      </c>
      <c r="C9" s="7">
        <f t="shared" ca="1" si="3"/>
        <v>608</v>
      </c>
      <c r="D9" s="7">
        <f t="shared" ca="1" si="3"/>
        <v>352</v>
      </c>
      <c r="E9" s="7">
        <f t="shared" ca="1" si="3"/>
        <v>160</v>
      </c>
      <c r="F9" s="7">
        <f t="shared" ca="1" si="3"/>
        <v>192</v>
      </c>
      <c r="G9" s="7">
        <f t="shared" ca="1" si="3"/>
        <v>192</v>
      </c>
      <c r="H9" s="7">
        <f t="shared" ca="1" si="3"/>
        <v>544</v>
      </c>
      <c r="I9" s="7">
        <f t="shared" ca="1" si="3"/>
        <v>992</v>
      </c>
      <c r="J9" s="7">
        <f t="shared" ca="1" si="3"/>
        <v>864</v>
      </c>
      <c r="K9">
        <f t="shared" ca="1" si="1"/>
        <v>-74</v>
      </c>
      <c r="M9" cm="1">
        <f t="array" aca="1" ref="M9" ca="1">CalGain(A9)</f>
        <v>672</v>
      </c>
      <c r="N9" cm="1">
        <f t="array" aca="1" ref="N9" ca="1">CalGain(B9)</f>
        <v>384</v>
      </c>
      <c r="O9" cm="1">
        <f t="array" aca="1" ref="O9" ca="1">CalGain(C9)</f>
        <v>608</v>
      </c>
      <c r="P9" cm="1">
        <f t="array" aca="1" ref="P9" ca="1">CalGain(D9)</f>
        <v>352</v>
      </c>
      <c r="Q9" cm="1">
        <f t="array" aca="1" ref="Q9" ca="1">CalGain(E9)</f>
        <v>160</v>
      </c>
      <c r="R9" cm="1">
        <f t="array" aca="1" ref="R9" ca="1">CalGain(F9)</f>
        <v>192</v>
      </c>
      <c r="S9" cm="1">
        <f t="array" aca="1" ref="S9" ca="1">CalGain(G9)</f>
        <v>192</v>
      </c>
      <c r="T9" cm="1">
        <f t="array" aca="1" ref="T9" ca="1">CalGain(H9)</f>
        <v>544</v>
      </c>
      <c r="U9" cm="1">
        <f t="array" aca="1" ref="U9" ca="1">CalGain(I9)</f>
        <v>992</v>
      </c>
      <c r="V9" cm="1">
        <f t="array" aca="1" ref="V9" ca="1">CalGain(J9)</f>
        <v>864</v>
      </c>
      <c r="W9" s="1">
        <v>1048544</v>
      </c>
      <c r="X9" s="1">
        <v>8388607</v>
      </c>
      <c r="Y9" s="1">
        <v>8388607</v>
      </c>
    </row>
    <row r="10" spans="1:25" x14ac:dyDescent="0.25">
      <c r="A10" s="5">
        <f t="shared" ref="A10:J24" ca="1" si="4">RANDBETWEEN(0, 31)</f>
        <v>4</v>
      </c>
      <c r="B10" s="5">
        <f t="shared" ca="1" si="4"/>
        <v>3</v>
      </c>
      <c r="C10" s="5">
        <f t="shared" ca="1" si="4"/>
        <v>4</v>
      </c>
      <c r="D10" s="5">
        <f t="shared" ca="1" si="4"/>
        <v>30</v>
      </c>
      <c r="E10" s="5">
        <f t="shared" ca="1" si="4"/>
        <v>10</v>
      </c>
      <c r="F10" s="5">
        <f t="shared" ca="1" si="4"/>
        <v>3</v>
      </c>
      <c r="G10" s="5">
        <f t="shared" ca="1" si="4"/>
        <v>1</v>
      </c>
      <c r="H10" s="5">
        <f t="shared" ca="1" si="4"/>
        <v>13</v>
      </c>
      <c r="I10" s="5">
        <f t="shared" ca="1" si="4"/>
        <v>0</v>
      </c>
      <c r="J10" s="5">
        <f t="shared" ca="1" si="4"/>
        <v>19</v>
      </c>
      <c r="K10">
        <f ca="1">RANDBETWEEN(0,127)</f>
        <v>116</v>
      </c>
      <c r="M10" cm="1">
        <f t="array" aca="1" ref="M10" ca="1">CalLoss(A10)</f>
        <v>128</v>
      </c>
      <c r="N10" cm="1">
        <f t="array" aca="1" ref="N10" ca="1">CalLoss(B10)</f>
        <v>768</v>
      </c>
      <c r="O10" cm="1">
        <f t="array" aca="1" ref="O10" ca="1">CalLoss(C10)</f>
        <v>128</v>
      </c>
      <c r="P10" cm="1">
        <f t="array" aca="1" ref="P10" ca="1">CalLoss(D10)</f>
        <v>480</v>
      </c>
      <c r="Q10" cm="1">
        <f t="array" aca="1" ref="Q10" ca="1">CalLoss(E10)</f>
        <v>320</v>
      </c>
      <c r="R10" cm="1">
        <f t="array" aca="1" ref="R10" ca="1">CalLoss(F10)</f>
        <v>768</v>
      </c>
      <c r="S10" cm="1">
        <f t="array" aca="1" ref="S10" ca="1">CalLoss(G10)</f>
        <v>512</v>
      </c>
      <c r="T10" cm="1">
        <f t="array" aca="1" ref="T10" ca="1">CalLoss(H10)</f>
        <v>704</v>
      </c>
      <c r="U10" cm="1">
        <f t="array" aca="1" ref="U10" ca="1">CalLoss(I10)</f>
        <v>0</v>
      </c>
      <c r="V10" cm="1">
        <f t="array" aca="1" ref="V10" ca="1">CalLoss(J10)</f>
        <v>800</v>
      </c>
      <c r="W10">
        <v>35</v>
      </c>
      <c r="X10">
        <v>68</v>
      </c>
      <c r="Y10">
        <v>35</v>
      </c>
    </row>
    <row r="11" spans="1:25" s="1" customFormat="1" x14ac:dyDescent="0.25">
      <c r="A11" s="7">
        <f ca="1">_xlfn.BITLSHIFT(RANDBETWEEN(0,31),5)</f>
        <v>192</v>
      </c>
      <c r="B11" s="7">
        <f t="shared" ref="B11:J11" ca="1" si="5">_xlfn.BITLSHIFT(RANDBETWEEN(0,31),5)</f>
        <v>992</v>
      </c>
      <c r="C11" s="7">
        <f t="shared" ca="1" si="5"/>
        <v>736</v>
      </c>
      <c r="D11" s="7">
        <f t="shared" ca="1" si="5"/>
        <v>640</v>
      </c>
      <c r="E11" s="7">
        <f t="shared" ca="1" si="5"/>
        <v>288</v>
      </c>
      <c r="F11" s="7">
        <f t="shared" ca="1" si="5"/>
        <v>192</v>
      </c>
      <c r="G11" s="7">
        <f t="shared" ca="1" si="5"/>
        <v>416</v>
      </c>
      <c r="H11" s="7">
        <f t="shared" ca="1" si="5"/>
        <v>704</v>
      </c>
      <c r="I11" s="7">
        <f t="shared" ca="1" si="5"/>
        <v>224</v>
      </c>
      <c r="J11" s="7">
        <f t="shared" ca="1" si="5"/>
        <v>128</v>
      </c>
      <c r="K11">
        <f ca="1">RANDBETWEEN(0,32768)</f>
        <v>25963</v>
      </c>
      <c r="M11" cm="1">
        <f t="array" aca="1" ref="M11" ca="1">CalGain(A11)</f>
        <v>192</v>
      </c>
      <c r="N11" cm="1">
        <f t="array" aca="1" ref="N11" ca="1">CalGain(B11)</f>
        <v>992</v>
      </c>
      <c r="O11" cm="1">
        <f t="array" aca="1" ref="O11" ca="1">CalGain(C11)</f>
        <v>736</v>
      </c>
      <c r="P11" cm="1">
        <f t="array" aca="1" ref="P11" ca="1">CalGain(D11)</f>
        <v>640</v>
      </c>
      <c r="Q11" cm="1">
        <f t="array" aca="1" ref="Q11" ca="1">CalGain(E11)</f>
        <v>288</v>
      </c>
      <c r="R11" cm="1">
        <f t="array" aca="1" ref="R11" ca="1">CalGain(F11)</f>
        <v>192</v>
      </c>
      <c r="S11" cm="1">
        <f t="array" aca="1" ref="S11" ca="1">CalGain(G11)</f>
        <v>416</v>
      </c>
      <c r="T11" cm="1">
        <f t="array" aca="1" ref="T11" ca="1">CalGain(H11)</f>
        <v>704</v>
      </c>
      <c r="U11" cm="1">
        <f t="array" aca="1" ref="U11" ca="1">CalGain(I11)</f>
        <v>224</v>
      </c>
      <c r="V11" cm="1">
        <f t="array" aca="1" ref="V11" ca="1">CalGain(J11)</f>
        <v>128</v>
      </c>
      <c r="W11" s="1">
        <v>8388607</v>
      </c>
      <c r="X11" s="1">
        <v>5242720</v>
      </c>
      <c r="Y11" s="1">
        <v>5242720</v>
      </c>
    </row>
    <row r="12" spans="1:25" x14ac:dyDescent="0.25">
      <c r="A12" s="5">
        <f t="shared" ca="1" si="4"/>
        <v>10</v>
      </c>
      <c r="B12" s="5">
        <f t="shared" ca="1" si="4"/>
        <v>12</v>
      </c>
      <c r="C12" s="5">
        <f t="shared" ca="1" si="4"/>
        <v>1</v>
      </c>
      <c r="D12" s="5">
        <f t="shared" ca="1" si="4"/>
        <v>29</v>
      </c>
      <c r="E12" s="5">
        <f t="shared" ca="1" si="4"/>
        <v>18</v>
      </c>
      <c r="F12" s="5">
        <f t="shared" ca="1" si="4"/>
        <v>30</v>
      </c>
      <c r="G12" s="5">
        <f t="shared" ca="1" si="4"/>
        <v>19</v>
      </c>
      <c r="H12" s="5">
        <f t="shared" ca="1" si="4"/>
        <v>28</v>
      </c>
      <c r="I12" s="5">
        <f t="shared" ca="1" si="4"/>
        <v>10</v>
      </c>
      <c r="J12" s="5">
        <f t="shared" ca="1" si="4"/>
        <v>22</v>
      </c>
      <c r="K12">
        <f t="shared" ca="1" si="1"/>
        <v>1</v>
      </c>
      <c r="M12" cm="1">
        <f t="array" aca="1" ref="M12" ca="1">CalLoss(A12)</f>
        <v>320</v>
      </c>
      <c r="N12" cm="1">
        <f t="array" aca="1" ref="N12" ca="1">CalLoss(B12)</f>
        <v>192</v>
      </c>
      <c r="O12" cm="1">
        <f t="array" aca="1" ref="O12" ca="1">CalLoss(C12)</f>
        <v>512</v>
      </c>
      <c r="P12" cm="1">
        <f t="array" aca="1" ref="P12" ca="1">CalLoss(D12)</f>
        <v>736</v>
      </c>
      <c r="Q12" cm="1">
        <f t="array" aca="1" ref="Q12" ca="1">CalLoss(E12)</f>
        <v>288</v>
      </c>
      <c r="R12" cm="1">
        <f t="array" aca="1" ref="R12" ca="1">CalLoss(F12)</f>
        <v>480</v>
      </c>
      <c r="S12" cm="1">
        <f t="array" aca="1" ref="S12" ca="1">CalLoss(G12)</f>
        <v>800</v>
      </c>
      <c r="T12" cm="1">
        <f t="array" aca="1" ref="T12" ca="1">CalLoss(H12)</f>
        <v>224</v>
      </c>
      <c r="U12" cm="1">
        <f t="array" aca="1" ref="U12" ca="1">CalLoss(I12)</f>
        <v>320</v>
      </c>
      <c r="V12" cm="1">
        <f t="array" aca="1" ref="V12" ca="1">CalLoss(J12)</f>
        <v>416</v>
      </c>
      <c r="W12">
        <v>60</v>
      </c>
      <c r="X12">
        <v>46</v>
      </c>
      <c r="Y12">
        <v>60</v>
      </c>
    </row>
    <row r="13" spans="1:25" s="1" customFormat="1" x14ac:dyDescent="0.25">
      <c r="A13" s="7">
        <f t="shared" ref="A13:J13" ca="1" si="6">_xlfn.BITLSHIFT(RANDBETWEEN(0,31),5)</f>
        <v>672</v>
      </c>
      <c r="B13" s="7">
        <f t="shared" ca="1" si="6"/>
        <v>832</v>
      </c>
      <c r="C13" s="7">
        <f t="shared" ca="1" si="6"/>
        <v>736</v>
      </c>
      <c r="D13" s="7">
        <f t="shared" ca="1" si="6"/>
        <v>288</v>
      </c>
      <c r="E13" s="7">
        <f t="shared" ca="1" si="6"/>
        <v>448</v>
      </c>
      <c r="F13" s="7">
        <f t="shared" ca="1" si="6"/>
        <v>928</v>
      </c>
      <c r="G13" s="7">
        <f t="shared" ca="1" si="6"/>
        <v>192</v>
      </c>
      <c r="H13" s="7">
        <f t="shared" ca="1" si="6"/>
        <v>704</v>
      </c>
      <c r="I13" s="7">
        <f t="shared" ca="1" si="6"/>
        <v>288</v>
      </c>
      <c r="J13" s="7">
        <f t="shared" ca="1" si="6"/>
        <v>640</v>
      </c>
      <c r="K13">
        <f t="shared" ca="1" si="1"/>
        <v>-34</v>
      </c>
      <c r="M13" cm="1">
        <f t="array" aca="1" ref="M13" ca="1">CalGain(A13)</f>
        <v>672</v>
      </c>
      <c r="N13" cm="1">
        <f t="array" aca="1" ref="N13" ca="1">CalGain(B13)</f>
        <v>832</v>
      </c>
      <c r="O13" cm="1">
        <f t="array" aca="1" ref="O13" ca="1">CalGain(C13)</f>
        <v>736</v>
      </c>
      <c r="P13" cm="1">
        <f t="array" aca="1" ref="P13" ca="1">CalGain(D13)</f>
        <v>288</v>
      </c>
      <c r="Q13" cm="1">
        <f t="array" aca="1" ref="Q13" ca="1">CalGain(E13)</f>
        <v>448</v>
      </c>
      <c r="R13" cm="1">
        <f t="array" aca="1" ref="R13" ca="1">CalGain(F13)</f>
        <v>928</v>
      </c>
      <c r="S13" cm="1">
        <f t="array" aca="1" ref="S13" ca="1">CalGain(G13)</f>
        <v>192</v>
      </c>
      <c r="T13" cm="1">
        <f t="array" aca="1" ref="T13" ca="1">CalGain(H13)</f>
        <v>704</v>
      </c>
      <c r="U13" cm="1">
        <f t="array" aca="1" ref="U13" ca="1">CalGain(I13)</f>
        <v>288</v>
      </c>
      <c r="V13" cm="1">
        <f t="array" aca="1" ref="V13" ca="1">CalGain(J13)</f>
        <v>640</v>
      </c>
      <c r="W13" s="1">
        <v>8388607</v>
      </c>
      <c r="X13" s="1">
        <v>8388607</v>
      </c>
      <c r="Y13" s="1">
        <v>8388607</v>
      </c>
    </row>
    <row r="14" spans="1:25" x14ac:dyDescent="0.25">
      <c r="A14" s="5">
        <f t="shared" ca="1" si="4"/>
        <v>7</v>
      </c>
      <c r="B14" s="5">
        <f t="shared" ca="1" si="4"/>
        <v>27</v>
      </c>
      <c r="C14" s="5">
        <f t="shared" ca="1" si="4"/>
        <v>26</v>
      </c>
      <c r="D14" s="5">
        <f t="shared" ca="1" si="4"/>
        <v>13</v>
      </c>
      <c r="E14" s="5">
        <f t="shared" ca="1" si="4"/>
        <v>9</v>
      </c>
      <c r="F14" s="5">
        <f t="shared" ca="1" si="4"/>
        <v>7</v>
      </c>
      <c r="G14" s="5">
        <f t="shared" ca="1" si="4"/>
        <v>17</v>
      </c>
      <c r="H14" s="5">
        <f t="shared" ca="1" si="4"/>
        <v>20</v>
      </c>
      <c r="I14" s="5">
        <f t="shared" ca="1" si="4"/>
        <v>15</v>
      </c>
      <c r="J14" s="5">
        <f t="shared" ca="1" si="4"/>
        <v>31</v>
      </c>
      <c r="K14">
        <f ca="1">RANDBETWEEN(120,127)</f>
        <v>127</v>
      </c>
      <c r="M14" cm="1">
        <f t="array" aca="1" ref="M14" ca="1">CalLoss(A14)</f>
        <v>896</v>
      </c>
      <c r="N14" cm="1">
        <f t="array" aca="1" ref="N14" ca="1">CalLoss(B14)</f>
        <v>864</v>
      </c>
      <c r="O14" cm="1">
        <f t="array" aca="1" ref="O14" ca="1">CalLoss(C14)</f>
        <v>352</v>
      </c>
      <c r="P14" cm="1">
        <f t="array" aca="1" ref="P14" ca="1">CalLoss(D14)</f>
        <v>704</v>
      </c>
      <c r="Q14" cm="1">
        <f t="array" aca="1" ref="Q14" ca="1">CalLoss(E14)</f>
        <v>576</v>
      </c>
      <c r="R14" cm="1">
        <f t="array" aca="1" ref="R14" ca="1">CalLoss(F14)</f>
        <v>896</v>
      </c>
      <c r="S14" cm="1">
        <f t="array" aca="1" ref="S14" ca="1">CalLoss(G14)</f>
        <v>544</v>
      </c>
      <c r="T14" cm="1">
        <f t="array" aca="1" ref="T14" ca="1">CalLoss(H14)</f>
        <v>160</v>
      </c>
      <c r="U14" cm="1">
        <f t="array" aca="1" ref="U14" ca="1">CalLoss(I14)</f>
        <v>960</v>
      </c>
      <c r="V14" cm="1">
        <f t="array" aca="1" ref="V14" ca="1">CalLoss(J14)</f>
        <v>992</v>
      </c>
      <c r="W14">
        <v>511</v>
      </c>
      <c r="X14">
        <v>60</v>
      </c>
      <c r="Y14">
        <v>511</v>
      </c>
    </row>
    <row r="15" spans="1:25" s="1" customFormat="1" x14ac:dyDescent="0.25">
      <c r="A15" s="7">
        <f ca="1">_xlfn.BITLSHIFT(RANDBETWEEN(0,2),5)</f>
        <v>0</v>
      </c>
      <c r="B15" s="7">
        <f t="shared" ref="B15:J15" ca="1" si="7">_xlfn.BITLSHIFT(RANDBETWEEN(0,2),5)</f>
        <v>32</v>
      </c>
      <c r="C15" s="7">
        <f t="shared" ca="1" si="7"/>
        <v>0</v>
      </c>
      <c r="D15" s="7">
        <f t="shared" ca="1" si="7"/>
        <v>0</v>
      </c>
      <c r="E15" s="7">
        <f t="shared" ca="1" si="7"/>
        <v>64</v>
      </c>
      <c r="F15" s="7">
        <f t="shared" ca="1" si="7"/>
        <v>32</v>
      </c>
      <c r="G15" s="7">
        <f t="shared" ca="1" si="7"/>
        <v>0</v>
      </c>
      <c r="H15" s="7">
        <f t="shared" ca="1" si="7"/>
        <v>32</v>
      </c>
      <c r="I15" s="7">
        <f t="shared" ca="1" si="7"/>
        <v>32</v>
      </c>
      <c r="J15" s="7">
        <f t="shared" ca="1" si="7"/>
        <v>64</v>
      </c>
      <c r="K15">
        <f t="shared" ca="1" si="1"/>
        <v>-95</v>
      </c>
      <c r="M15" cm="1">
        <f t="array" aca="1" ref="M15" ca="1">CalGain(A15)</f>
        <v>0</v>
      </c>
      <c r="N15" cm="1">
        <f t="array" aca="1" ref="N15" ca="1">CalGain(B15)</f>
        <v>32</v>
      </c>
      <c r="O15" cm="1">
        <f t="array" aca="1" ref="O15" ca="1">CalGain(C15)</f>
        <v>0</v>
      </c>
      <c r="P15" cm="1">
        <f t="array" aca="1" ref="P15" ca="1">CalGain(D15)</f>
        <v>0</v>
      </c>
      <c r="Q15" cm="1">
        <f t="array" aca="1" ref="Q15" ca="1">CalGain(E15)</f>
        <v>64</v>
      </c>
      <c r="R15" cm="1">
        <f t="array" aca="1" ref="R15" ca="1">CalGain(F15)</f>
        <v>32</v>
      </c>
      <c r="S15" cm="1">
        <f t="array" aca="1" ref="S15" ca="1">CalGain(G15)</f>
        <v>0</v>
      </c>
      <c r="T15" cm="1">
        <f t="array" aca="1" ref="T15" ca="1">CalGain(H15)</f>
        <v>32</v>
      </c>
      <c r="U15" cm="1">
        <f t="array" aca="1" ref="U15" ca="1">CalGain(I15)</f>
        <v>32</v>
      </c>
      <c r="V15" cm="1">
        <f t="array" aca="1" ref="V15" ca="1">CalGain(J15)</f>
        <v>64</v>
      </c>
      <c r="W15" s="1">
        <v>2097088</v>
      </c>
      <c r="X15" s="1">
        <v>32767</v>
      </c>
      <c r="Y15" s="1">
        <v>32767</v>
      </c>
    </row>
    <row r="16" spans="1:25" x14ac:dyDescent="0.25">
      <c r="A16" s="5">
        <f t="shared" ca="1" si="4"/>
        <v>1</v>
      </c>
      <c r="B16" s="5">
        <f t="shared" ca="1" si="4"/>
        <v>25</v>
      </c>
      <c r="C16" s="5">
        <f t="shared" ca="1" si="4"/>
        <v>17</v>
      </c>
      <c r="D16" s="5">
        <f t="shared" ca="1" si="4"/>
        <v>22</v>
      </c>
      <c r="E16" s="5">
        <f t="shared" ca="1" si="4"/>
        <v>24</v>
      </c>
      <c r="F16" s="5">
        <f t="shared" ca="1" si="4"/>
        <v>19</v>
      </c>
      <c r="G16" s="5">
        <f t="shared" ca="1" si="4"/>
        <v>31</v>
      </c>
      <c r="H16" s="5">
        <f t="shared" ca="1" si="4"/>
        <v>15</v>
      </c>
      <c r="I16" s="5">
        <f t="shared" ca="1" si="4"/>
        <v>0</v>
      </c>
      <c r="J16" s="5">
        <f t="shared" ca="1" si="4"/>
        <v>19</v>
      </c>
      <c r="K16">
        <f t="shared" ca="1" si="1"/>
        <v>-104</v>
      </c>
      <c r="M16" cm="1">
        <f t="array" aca="1" ref="M16" ca="1">CalLoss(A16)</f>
        <v>512</v>
      </c>
      <c r="N16" cm="1">
        <f t="array" aca="1" ref="N16" ca="1">CalLoss(B16)</f>
        <v>608</v>
      </c>
      <c r="O16" cm="1">
        <f t="array" aca="1" ref="O16" ca="1">CalLoss(C16)</f>
        <v>544</v>
      </c>
      <c r="P16" cm="1">
        <f t="array" aca="1" ref="P16" ca="1">CalLoss(D16)</f>
        <v>416</v>
      </c>
      <c r="Q16" cm="1">
        <f t="array" aca="1" ref="Q16" ca="1">CalLoss(E16)</f>
        <v>96</v>
      </c>
      <c r="R16" cm="1">
        <f t="array" aca="1" ref="R16" ca="1">CalLoss(F16)</f>
        <v>800</v>
      </c>
      <c r="S16" cm="1">
        <f t="array" aca="1" ref="S16" ca="1">CalLoss(G16)</f>
        <v>992</v>
      </c>
      <c r="T16" cm="1">
        <f t="array" aca="1" ref="T16" ca="1">CalLoss(H16)</f>
        <v>960</v>
      </c>
      <c r="U16" cm="1">
        <f t="array" aca="1" ref="U16" ca="1">CalLoss(I16)</f>
        <v>0</v>
      </c>
      <c r="V16" cm="1">
        <f t="array" aca="1" ref="V16" ca="1">CalLoss(J16)</f>
        <v>800</v>
      </c>
      <c r="W16">
        <v>35</v>
      </c>
      <c r="X16">
        <v>85</v>
      </c>
      <c r="Y16">
        <v>35</v>
      </c>
    </row>
    <row r="17" spans="1:25" s="1" customFormat="1" x14ac:dyDescent="0.25">
      <c r="A17" s="7">
        <f ca="1">_xlfn.BITLSHIFT(RANDBETWEEN(0,7),5)</f>
        <v>160</v>
      </c>
      <c r="B17" s="7">
        <f t="shared" ref="B17:J17" ca="1" si="8">_xlfn.BITLSHIFT(RANDBETWEEN(0,7),5)</f>
        <v>0</v>
      </c>
      <c r="C17" s="7">
        <f t="shared" ca="1" si="8"/>
        <v>192</v>
      </c>
      <c r="D17" s="7">
        <f t="shared" ca="1" si="8"/>
        <v>32</v>
      </c>
      <c r="E17" s="7">
        <f t="shared" ca="1" si="8"/>
        <v>160</v>
      </c>
      <c r="F17" s="7">
        <f t="shared" ca="1" si="8"/>
        <v>0</v>
      </c>
      <c r="G17" s="7">
        <f t="shared" ca="1" si="8"/>
        <v>224</v>
      </c>
      <c r="H17" s="7">
        <f t="shared" ca="1" si="8"/>
        <v>160</v>
      </c>
      <c r="I17" s="7">
        <f t="shared" ca="1" si="8"/>
        <v>0</v>
      </c>
      <c r="J17" s="7">
        <f t="shared" ca="1" si="8"/>
        <v>96</v>
      </c>
      <c r="K17">
        <f t="shared" ca="1" si="1"/>
        <v>-63</v>
      </c>
      <c r="M17" cm="1">
        <f t="array" aca="1" ref="M17" ca="1">CalGain(A17)</f>
        <v>160</v>
      </c>
      <c r="N17" cm="1">
        <f t="array" aca="1" ref="N17" ca="1">CalGain(B17)</f>
        <v>0</v>
      </c>
      <c r="O17" cm="1">
        <f t="array" aca="1" ref="O17" ca="1">CalGain(C17)</f>
        <v>192</v>
      </c>
      <c r="P17" cm="1">
        <f t="array" aca="1" ref="P17" ca="1">CalGain(D17)</f>
        <v>32</v>
      </c>
      <c r="Q17" cm="1">
        <f t="array" aca="1" ref="Q17" ca="1">CalGain(E17)</f>
        <v>160</v>
      </c>
      <c r="R17" cm="1">
        <f t="array" aca="1" ref="R17" ca="1">CalGain(F17)</f>
        <v>0</v>
      </c>
      <c r="S17" cm="1">
        <f t="array" aca="1" ref="S17" ca="1">CalGain(G17)</f>
        <v>224</v>
      </c>
      <c r="T17" cm="1">
        <f t="array" aca="1" ref="T17" ca="1">CalGain(H17)</f>
        <v>160</v>
      </c>
      <c r="U17" cm="1">
        <f t="array" aca="1" ref="U17" ca="1">CalGain(I17)</f>
        <v>0</v>
      </c>
      <c r="V17" cm="1">
        <f t="array" aca="1" ref="V17" ca="1">CalGain(J17)</f>
        <v>96</v>
      </c>
      <c r="W17" s="1">
        <v>32767</v>
      </c>
      <c r="X17" s="1">
        <v>2922496</v>
      </c>
      <c r="Y17" s="1">
        <v>2922496</v>
      </c>
    </row>
    <row r="18" spans="1:25" x14ac:dyDescent="0.25">
      <c r="A18" s="5">
        <f t="shared" ca="1" si="4"/>
        <v>5</v>
      </c>
      <c r="B18" s="5">
        <f t="shared" ca="1" si="4"/>
        <v>5</v>
      </c>
      <c r="C18" s="5">
        <f t="shared" ca="1" si="4"/>
        <v>23</v>
      </c>
      <c r="D18" s="5">
        <f t="shared" ca="1" si="4"/>
        <v>16</v>
      </c>
      <c r="E18" s="5">
        <f t="shared" ca="1" si="4"/>
        <v>29</v>
      </c>
      <c r="F18" s="5">
        <f t="shared" ca="1" si="4"/>
        <v>19</v>
      </c>
      <c r="G18" s="5">
        <f t="shared" ca="1" si="4"/>
        <v>15</v>
      </c>
      <c r="H18" s="5">
        <f t="shared" ca="1" si="4"/>
        <v>1</v>
      </c>
      <c r="I18" s="5">
        <f t="shared" ca="1" si="4"/>
        <v>24</v>
      </c>
      <c r="J18" s="5">
        <f t="shared" ca="1" si="4"/>
        <v>23</v>
      </c>
      <c r="K18">
        <f t="shared" ca="1" si="1"/>
        <v>-48</v>
      </c>
      <c r="M18" cm="1">
        <f t="array" aca="1" ref="M18" ca="1">CalLoss(A18)</f>
        <v>640</v>
      </c>
      <c r="N18" cm="1">
        <f t="array" aca="1" ref="N18" ca="1">CalLoss(B18)</f>
        <v>640</v>
      </c>
      <c r="O18" cm="1">
        <f t="array" aca="1" ref="O18" ca="1">CalLoss(C18)</f>
        <v>928</v>
      </c>
      <c r="P18" cm="1">
        <f t="array" aca="1" ref="P18" ca="1">CalLoss(D18)</f>
        <v>32</v>
      </c>
      <c r="Q18" cm="1">
        <f t="array" aca="1" ref="Q18" ca="1">CalLoss(E18)</f>
        <v>736</v>
      </c>
      <c r="R18" cm="1">
        <f t="array" aca="1" ref="R18" ca="1">CalLoss(F18)</f>
        <v>800</v>
      </c>
      <c r="S18" cm="1">
        <f t="array" aca="1" ref="S18" ca="1">CalLoss(G18)</f>
        <v>960</v>
      </c>
      <c r="T18" cm="1">
        <f t="array" aca="1" ref="T18" ca="1">CalLoss(H18)</f>
        <v>512</v>
      </c>
      <c r="U18" cm="1">
        <f t="array" aca="1" ref="U18" ca="1">CalLoss(I18)</f>
        <v>96</v>
      </c>
      <c r="V18" cm="1">
        <f t="array" aca="1" ref="V18" ca="1">CalLoss(J18)</f>
        <v>928</v>
      </c>
      <c r="W18">
        <v>37</v>
      </c>
      <c r="X18">
        <v>68</v>
      </c>
      <c r="Y18">
        <v>37</v>
      </c>
    </row>
    <row r="19" spans="1:25" s="1" customFormat="1" x14ac:dyDescent="0.25">
      <c r="A19" s="7">
        <f ca="1">_xlfn.BITLSHIFT(RANDBETWEEN(0,3),5)</f>
        <v>0</v>
      </c>
      <c r="B19" s="7">
        <f t="shared" ref="B19:J19" ca="1" si="9">_xlfn.BITLSHIFT(RANDBETWEEN(0,3),5)</f>
        <v>64</v>
      </c>
      <c r="C19" s="7">
        <f t="shared" ca="1" si="9"/>
        <v>0</v>
      </c>
      <c r="D19" s="7">
        <f t="shared" ca="1" si="9"/>
        <v>64</v>
      </c>
      <c r="E19" s="7">
        <f t="shared" ca="1" si="9"/>
        <v>32</v>
      </c>
      <c r="F19" s="7">
        <f t="shared" ca="1" si="9"/>
        <v>32</v>
      </c>
      <c r="G19" s="7">
        <f t="shared" ca="1" si="9"/>
        <v>64</v>
      </c>
      <c r="H19" s="7">
        <f t="shared" ca="1" si="9"/>
        <v>0</v>
      </c>
      <c r="I19" s="7">
        <f t="shared" ca="1" si="9"/>
        <v>96</v>
      </c>
      <c r="J19" s="7">
        <f t="shared" ca="1" si="9"/>
        <v>96</v>
      </c>
      <c r="K19">
        <f ca="1">RANDBETWEEN(8,127)</f>
        <v>125</v>
      </c>
      <c r="M19" cm="1">
        <f t="array" aca="1" ref="M19" ca="1">CalGain(A19)</f>
        <v>0</v>
      </c>
      <c r="N19" cm="1">
        <f t="array" aca="1" ref="N19" ca="1">CalGain(B19)</f>
        <v>64</v>
      </c>
      <c r="O19" cm="1">
        <f t="array" aca="1" ref="O19" ca="1">CalGain(C19)</f>
        <v>0</v>
      </c>
      <c r="P19" cm="1">
        <f t="array" aca="1" ref="P19" ca="1">CalGain(D19)</f>
        <v>64</v>
      </c>
      <c r="Q19" cm="1">
        <f t="array" aca="1" ref="Q19" ca="1">CalGain(E19)</f>
        <v>32</v>
      </c>
      <c r="R19" cm="1">
        <f t="array" aca="1" ref="R19" ca="1">CalGain(F19)</f>
        <v>32</v>
      </c>
      <c r="S19" cm="1">
        <f t="array" aca="1" ref="S19" ca="1">CalGain(G19)</f>
        <v>64</v>
      </c>
      <c r="T19" cm="1">
        <f t="array" aca="1" ref="T19" ca="1">CalGain(H19)</f>
        <v>0</v>
      </c>
      <c r="U19" cm="1">
        <f t="array" aca="1" ref="U19" ca="1">CalGain(I19)</f>
        <v>96</v>
      </c>
      <c r="V19" cm="1">
        <f t="array" aca="1" ref="V19" ca="1">CalGain(J19)</f>
        <v>96</v>
      </c>
      <c r="W19" s="1">
        <v>3145632</v>
      </c>
      <c r="X19" s="1">
        <v>32767</v>
      </c>
      <c r="Y19" s="1">
        <v>32767</v>
      </c>
    </row>
    <row r="20" spans="1:25" x14ac:dyDescent="0.25">
      <c r="A20" s="5">
        <f t="shared" ca="1" si="4"/>
        <v>2</v>
      </c>
      <c r="B20" s="5">
        <f t="shared" ca="1" si="4"/>
        <v>12</v>
      </c>
      <c r="C20" s="5">
        <f t="shared" ca="1" si="4"/>
        <v>5</v>
      </c>
      <c r="D20" s="5">
        <f t="shared" ca="1" si="4"/>
        <v>3</v>
      </c>
      <c r="E20" s="5">
        <f t="shared" ca="1" si="4"/>
        <v>19</v>
      </c>
      <c r="F20" s="5">
        <f t="shared" ca="1" si="4"/>
        <v>14</v>
      </c>
      <c r="G20" s="5">
        <f t="shared" ca="1" si="4"/>
        <v>18</v>
      </c>
      <c r="H20" s="5">
        <f t="shared" ca="1" si="4"/>
        <v>18</v>
      </c>
      <c r="I20" s="5">
        <f t="shared" ca="1" si="4"/>
        <v>0</v>
      </c>
      <c r="J20" s="5">
        <f t="shared" ca="1" si="4"/>
        <v>16</v>
      </c>
      <c r="K20">
        <f t="shared" ca="1" si="1"/>
        <v>-103</v>
      </c>
      <c r="M20" cm="1">
        <f t="array" aca="1" ref="M20" ca="1">CalLoss(A20)</f>
        <v>256</v>
      </c>
      <c r="N20" cm="1">
        <f t="array" aca="1" ref="N20" ca="1">CalLoss(B20)</f>
        <v>192</v>
      </c>
      <c r="O20" cm="1">
        <f t="array" aca="1" ref="O20" ca="1">CalLoss(C20)</f>
        <v>640</v>
      </c>
      <c r="P20" cm="1">
        <f t="array" aca="1" ref="P20" ca="1">CalLoss(D20)</f>
        <v>768</v>
      </c>
      <c r="Q20" cm="1">
        <f t="array" aca="1" ref="Q20" ca="1">CalLoss(E20)</f>
        <v>800</v>
      </c>
      <c r="R20" cm="1">
        <f t="array" aca="1" ref="R20" ca="1">CalLoss(F20)</f>
        <v>448</v>
      </c>
      <c r="S20" cm="1">
        <f t="array" aca="1" ref="S20" ca="1">CalLoss(G20)</f>
        <v>288</v>
      </c>
      <c r="T20" cm="1">
        <f t="array" aca="1" ref="T20" ca="1">CalLoss(H20)</f>
        <v>288</v>
      </c>
      <c r="U20" cm="1">
        <f t="array" aca="1" ref="U20" ca="1">CalLoss(I20)</f>
        <v>0</v>
      </c>
      <c r="V20" cm="1">
        <f t="array" aca="1" ref="V20" ca="1">CalLoss(J20)</f>
        <v>32</v>
      </c>
      <c r="W20">
        <v>102</v>
      </c>
      <c r="X20">
        <v>170</v>
      </c>
      <c r="Y20">
        <v>102</v>
      </c>
    </row>
    <row r="21" spans="1:25" s="1" customFormat="1" x14ac:dyDescent="0.25">
      <c r="A21" s="7">
        <f ca="1">_xlfn.BITLSHIFT(RANDBETWEEN(0,3),5)</f>
        <v>0</v>
      </c>
      <c r="B21" s="7">
        <f t="shared" ref="B21:J21" ca="1" si="10">_xlfn.BITLSHIFT(RANDBETWEEN(0,3),5)</f>
        <v>64</v>
      </c>
      <c r="C21" s="7">
        <f t="shared" ca="1" si="10"/>
        <v>96</v>
      </c>
      <c r="D21" s="7">
        <f t="shared" ca="1" si="10"/>
        <v>96</v>
      </c>
      <c r="E21" s="7">
        <f t="shared" ca="1" si="10"/>
        <v>96</v>
      </c>
      <c r="F21" s="7">
        <f t="shared" ca="1" si="10"/>
        <v>96</v>
      </c>
      <c r="G21" s="7">
        <f t="shared" ca="1" si="10"/>
        <v>64</v>
      </c>
      <c r="H21" s="7">
        <f t="shared" ca="1" si="10"/>
        <v>0</v>
      </c>
      <c r="I21" s="7">
        <f t="shared" ca="1" si="10"/>
        <v>0</v>
      </c>
      <c r="J21" s="7">
        <f t="shared" ca="1" si="10"/>
        <v>96</v>
      </c>
      <c r="K21">
        <f t="shared" ca="1" si="1"/>
        <v>28</v>
      </c>
      <c r="M21" cm="1">
        <f t="array" aca="1" ref="M21" ca="1">CalGain(A21)</f>
        <v>0</v>
      </c>
      <c r="N21" cm="1">
        <f t="array" aca="1" ref="N21" ca="1">CalGain(B21)</f>
        <v>64</v>
      </c>
      <c r="O21" cm="1">
        <f t="array" aca="1" ref="O21" ca="1">CalGain(C21)</f>
        <v>96</v>
      </c>
      <c r="P21" cm="1">
        <f t="array" aca="1" ref="P21" ca="1">CalGain(D21)</f>
        <v>96</v>
      </c>
      <c r="Q21" cm="1">
        <f t="array" aca="1" ref="Q21" ca="1">CalGain(E21)</f>
        <v>96</v>
      </c>
      <c r="R21" cm="1">
        <f t="array" aca="1" ref="R21" ca="1">CalGain(F21)</f>
        <v>96</v>
      </c>
      <c r="S21" cm="1">
        <f t="array" aca="1" ref="S21" ca="1">CalGain(G21)</f>
        <v>64</v>
      </c>
      <c r="T21" cm="1">
        <f t="array" aca="1" ref="T21" ca="1">CalGain(H21)</f>
        <v>0</v>
      </c>
      <c r="U21" cm="1">
        <f t="array" aca="1" ref="U21" ca="1">CalGain(I21)</f>
        <v>0</v>
      </c>
      <c r="V21" cm="1">
        <f t="array" aca="1" ref="V21" ca="1">CalGain(J21)</f>
        <v>96</v>
      </c>
      <c r="W21" s="1">
        <v>2097088</v>
      </c>
      <c r="X21" s="1">
        <v>2154720</v>
      </c>
      <c r="Y21" s="1">
        <v>2154720</v>
      </c>
    </row>
    <row r="22" spans="1:25" x14ac:dyDescent="0.25">
      <c r="A22" s="5">
        <f t="shared" ca="1" si="4"/>
        <v>9</v>
      </c>
      <c r="B22" s="5">
        <f t="shared" ca="1" si="4"/>
        <v>5</v>
      </c>
      <c r="C22" s="5">
        <f t="shared" ca="1" si="4"/>
        <v>2</v>
      </c>
      <c r="D22" s="5">
        <f t="shared" ca="1" si="4"/>
        <v>4</v>
      </c>
      <c r="E22" s="5">
        <f t="shared" ca="1" si="4"/>
        <v>25</v>
      </c>
      <c r="F22" s="5">
        <f t="shared" ca="1" si="4"/>
        <v>5</v>
      </c>
      <c r="G22" s="5">
        <f t="shared" ca="1" si="4"/>
        <v>2</v>
      </c>
      <c r="H22" s="5">
        <f t="shared" ca="1" si="4"/>
        <v>27</v>
      </c>
      <c r="I22" s="5">
        <f t="shared" ca="1" si="4"/>
        <v>18</v>
      </c>
      <c r="J22" s="5">
        <f t="shared" ca="1" si="4"/>
        <v>12</v>
      </c>
      <c r="K22">
        <f t="shared" ca="1" si="1"/>
        <v>11</v>
      </c>
      <c r="M22" cm="1">
        <f t="array" aca="1" ref="M22" ca="1">CalLoss(A22)</f>
        <v>576</v>
      </c>
      <c r="N22" cm="1">
        <f t="array" aca="1" ref="N22" ca="1">CalLoss(B22)</f>
        <v>640</v>
      </c>
      <c r="O22" cm="1">
        <f t="array" aca="1" ref="O22" ca="1">CalLoss(C22)</f>
        <v>256</v>
      </c>
      <c r="P22" cm="1">
        <f t="array" aca="1" ref="P22" ca="1">CalLoss(D22)</f>
        <v>128</v>
      </c>
      <c r="Q22" cm="1">
        <f t="array" aca="1" ref="Q22" ca="1">CalLoss(E22)</f>
        <v>608</v>
      </c>
      <c r="R22" cm="1">
        <f t="array" aca="1" ref="R22" ca="1">CalLoss(F22)</f>
        <v>640</v>
      </c>
      <c r="S22" cm="1">
        <f t="array" aca="1" ref="S22" ca="1">CalLoss(G22)</f>
        <v>256</v>
      </c>
      <c r="T22" cm="1">
        <f t="array" aca="1" ref="T22" ca="1">CalLoss(H22)</f>
        <v>864</v>
      </c>
      <c r="U22" cm="1">
        <f t="array" aca="1" ref="U22" ca="1">CalLoss(I22)</f>
        <v>288</v>
      </c>
      <c r="V22" cm="1">
        <f t="array" aca="1" ref="V22" ca="1">CalLoss(J22)</f>
        <v>192</v>
      </c>
      <c r="W22">
        <v>85</v>
      </c>
      <c r="X22">
        <v>78</v>
      </c>
      <c r="Y22">
        <v>85</v>
      </c>
    </row>
    <row r="23" spans="1:25" s="1" customFormat="1" x14ac:dyDescent="0.25">
      <c r="A23" s="7">
        <f ca="1">_xlfn.BITLSHIFT(RANDBETWEEN(3,4),5)</f>
        <v>96</v>
      </c>
      <c r="B23" s="7">
        <f t="shared" ref="B23:J23" ca="1" si="11">_xlfn.BITLSHIFT(RANDBETWEEN(3,4),5)</f>
        <v>128</v>
      </c>
      <c r="C23" s="7">
        <f t="shared" ca="1" si="11"/>
        <v>96</v>
      </c>
      <c r="D23" s="7">
        <f t="shared" ca="1" si="11"/>
        <v>128</v>
      </c>
      <c r="E23" s="7">
        <f t="shared" ca="1" si="11"/>
        <v>96</v>
      </c>
      <c r="F23" s="7">
        <f t="shared" ca="1" si="11"/>
        <v>128</v>
      </c>
      <c r="G23" s="7">
        <f t="shared" ca="1" si="11"/>
        <v>96</v>
      </c>
      <c r="H23" s="7">
        <f t="shared" ca="1" si="11"/>
        <v>96</v>
      </c>
      <c r="I23" s="7">
        <f t="shared" ca="1" si="11"/>
        <v>128</v>
      </c>
      <c r="J23" s="7">
        <f t="shared" ca="1" si="11"/>
        <v>128</v>
      </c>
      <c r="K23">
        <f t="shared" ca="1" si="1"/>
        <v>68</v>
      </c>
      <c r="M23" cm="1">
        <f t="array" aca="1" ref="M23" ca="1">CalGain(A23)</f>
        <v>96</v>
      </c>
      <c r="N23" cm="1">
        <f t="array" aca="1" ref="N23" ca="1">CalGain(B23)</f>
        <v>128</v>
      </c>
      <c r="O23" cm="1">
        <f t="array" aca="1" ref="O23" ca="1">CalGain(C23)</f>
        <v>96</v>
      </c>
      <c r="P23" cm="1">
        <f t="array" aca="1" ref="P23" ca="1">CalGain(D23)</f>
        <v>128</v>
      </c>
      <c r="Q23" cm="1">
        <f t="array" aca="1" ref="Q23" ca="1">CalGain(E23)</f>
        <v>96</v>
      </c>
      <c r="R23" cm="1">
        <f t="array" aca="1" ref="R23" ca="1">CalGain(F23)</f>
        <v>128</v>
      </c>
      <c r="S23" cm="1">
        <f t="array" aca="1" ref="S23" ca="1">CalGain(G23)</f>
        <v>96</v>
      </c>
      <c r="T23" cm="1">
        <f t="array" aca="1" ref="T23" ca="1">CalGain(H23)</f>
        <v>96</v>
      </c>
      <c r="U23" cm="1">
        <f t="array" aca="1" ref="U23" ca="1">CalGain(I23)</f>
        <v>128</v>
      </c>
      <c r="V23" cm="1">
        <f t="array" aca="1" ref="V23" ca="1">CalGain(J23)</f>
        <v>128</v>
      </c>
      <c r="W23" s="1">
        <v>3145632</v>
      </c>
      <c r="X23" s="1">
        <v>3145632</v>
      </c>
      <c r="Y23" s="1">
        <v>3145632</v>
      </c>
    </row>
    <row r="24" spans="1:25" x14ac:dyDescent="0.25">
      <c r="A24" s="5">
        <f t="shared" ca="1" si="4"/>
        <v>26</v>
      </c>
      <c r="B24" s="5">
        <f t="shared" ca="1" si="4"/>
        <v>0</v>
      </c>
      <c r="C24" s="5">
        <f t="shared" ca="1" si="4"/>
        <v>15</v>
      </c>
      <c r="D24" s="5">
        <f t="shared" ca="1" si="4"/>
        <v>26</v>
      </c>
      <c r="E24" s="5">
        <f t="shared" ca="1" si="4"/>
        <v>29</v>
      </c>
      <c r="F24" s="5">
        <f t="shared" ca="1" si="4"/>
        <v>20</v>
      </c>
      <c r="G24" s="5">
        <f t="shared" ca="1" si="4"/>
        <v>19</v>
      </c>
      <c r="H24" s="5">
        <f t="shared" ca="1" si="4"/>
        <v>0</v>
      </c>
      <c r="I24" s="5">
        <f t="shared" ca="1" si="4"/>
        <v>7</v>
      </c>
      <c r="J24" s="5">
        <f t="shared" ca="1" si="4"/>
        <v>28</v>
      </c>
      <c r="K24">
        <f t="shared" ca="1" si="1"/>
        <v>29</v>
      </c>
      <c r="M24" cm="1">
        <f t="array" aca="1" ref="M24" ca="1">CalLoss(A24)</f>
        <v>352</v>
      </c>
      <c r="N24" cm="1">
        <f t="array" aca="1" ref="N24" ca="1">CalLoss(B24)</f>
        <v>0</v>
      </c>
      <c r="O24" cm="1">
        <f t="array" aca="1" ref="O24" ca="1">CalLoss(C24)</f>
        <v>960</v>
      </c>
      <c r="P24" cm="1">
        <f t="array" aca="1" ref="P24" ca="1">CalLoss(D24)</f>
        <v>352</v>
      </c>
      <c r="Q24" cm="1">
        <f t="array" aca="1" ref="Q24" ca="1">CalLoss(E24)</f>
        <v>736</v>
      </c>
      <c r="R24" cm="1">
        <f t="array" aca="1" ref="R24" ca="1">CalLoss(F24)</f>
        <v>160</v>
      </c>
      <c r="S24" cm="1">
        <f t="array" aca="1" ref="S24" ca="1">CalLoss(G24)</f>
        <v>800</v>
      </c>
      <c r="T24" cm="1">
        <f t="array" aca="1" ref="T24" ca="1">CalLoss(H24)</f>
        <v>0</v>
      </c>
      <c r="U24" cm="1">
        <f t="array" aca="1" ref="U24" ca="1">CalLoss(I24)</f>
        <v>896</v>
      </c>
      <c r="V24" cm="1">
        <f t="array" aca="1" ref="V24" ca="1">CalLoss(J24)</f>
        <v>224</v>
      </c>
      <c r="W24">
        <v>511</v>
      </c>
      <c r="X24">
        <v>33</v>
      </c>
      <c r="Y24">
        <v>511</v>
      </c>
    </row>
    <row r="25" spans="1:25" s="1" customFormat="1" x14ac:dyDescent="0.25">
      <c r="A25" s="7">
        <f t="shared" ref="A25:J42" ca="1" si="12">_xlfn.BITLSHIFT(RANDBETWEEN(0,31),5)</f>
        <v>448</v>
      </c>
      <c r="B25" s="7">
        <f t="shared" ca="1" si="12"/>
        <v>928</v>
      </c>
      <c r="C25" s="7">
        <f t="shared" ca="1" si="12"/>
        <v>544</v>
      </c>
      <c r="D25" s="7">
        <f t="shared" ca="1" si="12"/>
        <v>256</v>
      </c>
      <c r="E25" s="7">
        <f t="shared" ca="1" si="12"/>
        <v>704</v>
      </c>
      <c r="F25" s="7">
        <f t="shared" ca="1" si="12"/>
        <v>128</v>
      </c>
      <c r="G25" s="7">
        <f t="shared" ca="1" si="12"/>
        <v>608</v>
      </c>
      <c r="H25" s="7">
        <f t="shared" ca="1" si="12"/>
        <v>192</v>
      </c>
      <c r="I25" s="7">
        <f t="shared" ca="1" si="12"/>
        <v>832</v>
      </c>
      <c r="J25" s="7">
        <f t="shared" ca="1" si="12"/>
        <v>288</v>
      </c>
      <c r="K25">
        <f t="shared" ca="1" si="1"/>
        <v>3</v>
      </c>
      <c r="M25" cm="1">
        <f t="array" aca="1" ref="M25" ca="1">CalGain(A25)</f>
        <v>448</v>
      </c>
      <c r="N25" cm="1">
        <f t="array" aca="1" ref="N25" ca="1">CalGain(B25)</f>
        <v>928</v>
      </c>
      <c r="O25" cm="1">
        <f t="array" aca="1" ref="O25" ca="1">CalGain(C25)</f>
        <v>544</v>
      </c>
      <c r="P25" cm="1">
        <f t="array" aca="1" ref="P25" ca="1">CalGain(D25)</f>
        <v>256</v>
      </c>
      <c r="Q25" cm="1">
        <f t="array" aca="1" ref="Q25" ca="1">CalGain(E25)</f>
        <v>704</v>
      </c>
      <c r="R25" cm="1">
        <f t="array" aca="1" ref="R25" ca="1">CalGain(F25)</f>
        <v>128</v>
      </c>
      <c r="S25" cm="1">
        <f t="array" aca="1" ref="S25" ca="1">CalGain(G25)</f>
        <v>608</v>
      </c>
      <c r="T25" cm="1">
        <f t="array" aca="1" ref="T25" ca="1">CalGain(H25)</f>
        <v>192</v>
      </c>
      <c r="U25" cm="1">
        <f t="array" aca="1" ref="U25" ca="1">CalGain(I25)</f>
        <v>832</v>
      </c>
      <c r="V25" cm="1">
        <f t="array" aca="1" ref="V25" ca="1">CalGain(J25)</f>
        <v>288</v>
      </c>
      <c r="W25" s="1">
        <v>8388607</v>
      </c>
      <c r="X25" s="1">
        <v>8388607</v>
      </c>
      <c r="Y25" s="1">
        <v>8388607</v>
      </c>
    </row>
    <row r="26" spans="1:25" s="2" customFormat="1" x14ac:dyDescent="0.25">
      <c r="A26" s="6">
        <f t="shared" ca="1" si="12"/>
        <v>384</v>
      </c>
      <c r="B26" s="6">
        <f t="shared" ca="1" si="12"/>
        <v>224</v>
      </c>
      <c r="C26" s="6">
        <f t="shared" ca="1" si="12"/>
        <v>448</v>
      </c>
      <c r="D26" s="6">
        <f t="shared" ca="1" si="12"/>
        <v>512</v>
      </c>
      <c r="E26" s="6">
        <f t="shared" ca="1" si="12"/>
        <v>896</v>
      </c>
      <c r="F26" s="6">
        <f t="shared" ca="1" si="12"/>
        <v>992</v>
      </c>
      <c r="G26" s="6">
        <f t="shared" ca="1" si="12"/>
        <v>320</v>
      </c>
      <c r="H26" s="6">
        <f t="shared" ca="1" si="12"/>
        <v>160</v>
      </c>
      <c r="I26" s="6">
        <f t="shared" ca="1" si="12"/>
        <v>992</v>
      </c>
      <c r="J26" s="6">
        <f t="shared" ca="1" si="12"/>
        <v>384</v>
      </c>
      <c r="K26">
        <f t="shared" ca="1" si="1"/>
        <v>116</v>
      </c>
      <c r="M26" cm="1">
        <f t="array" aca="1" ref="M26" ca="1">CalGain(A26)</f>
        <v>384</v>
      </c>
      <c r="N26" cm="1">
        <f t="array" aca="1" ref="N26" ca="1">CalGain(B26)</f>
        <v>224</v>
      </c>
      <c r="O26" cm="1">
        <f t="array" aca="1" ref="O26" ca="1">CalGain(C26)</f>
        <v>448</v>
      </c>
      <c r="P26" cm="1">
        <f t="array" aca="1" ref="P26" ca="1">CalGain(D26)</f>
        <v>512</v>
      </c>
      <c r="Q26" cm="1">
        <f t="array" aca="1" ref="Q26" ca="1">CalGain(E26)</f>
        <v>896</v>
      </c>
      <c r="R26" cm="1">
        <f t="array" aca="1" ref="R26" ca="1">CalGain(F26)</f>
        <v>992</v>
      </c>
      <c r="S26" cm="1">
        <f t="array" aca="1" ref="S26" ca="1">CalGain(G26)</f>
        <v>320</v>
      </c>
      <c r="T26" cm="1">
        <f t="array" aca="1" ref="T26" ca="1">CalGain(H26)</f>
        <v>160</v>
      </c>
      <c r="U26" cm="1">
        <f t="array" aca="1" ref="U26" ca="1">CalGain(I26)</f>
        <v>992</v>
      </c>
      <c r="V26" cm="1">
        <f t="array" aca="1" ref="V26" ca="1">CalGain(J26)</f>
        <v>384</v>
      </c>
      <c r="W26" s="2">
        <v>8388607</v>
      </c>
      <c r="X26" s="2">
        <v>8388607</v>
      </c>
      <c r="Y26" s="2">
        <v>8388607</v>
      </c>
    </row>
    <row r="27" spans="1:25" s="2" customFormat="1" x14ac:dyDescent="0.25">
      <c r="A27" s="6">
        <f t="shared" ca="1" si="12"/>
        <v>128</v>
      </c>
      <c r="B27" s="6">
        <f t="shared" ca="1" si="12"/>
        <v>192</v>
      </c>
      <c r="C27" s="6">
        <f t="shared" ca="1" si="12"/>
        <v>736</v>
      </c>
      <c r="D27" s="6">
        <f t="shared" ca="1" si="12"/>
        <v>896</v>
      </c>
      <c r="E27" s="6">
        <f t="shared" ca="1" si="12"/>
        <v>608</v>
      </c>
      <c r="F27" s="6">
        <f t="shared" ca="1" si="12"/>
        <v>800</v>
      </c>
      <c r="G27" s="6">
        <f t="shared" ca="1" si="12"/>
        <v>736</v>
      </c>
      <c r="H27" s="6">
        <f t="shared" ca="1" si="12"/>
        <v>864</v>
      </c>
      <c r="I27" s="6">
        <f t="shared" ca="1" si="12"/>
        <v>928</v>
      </c>
      <c r="J27" s="6">
        <f t="shared" ca="1" si="12"/>
        <v>96</v>
      </c>
      <c r="K27">
        <f t="shared" ca="1" si="1"/>
        <v>-62</v>
      </c>
      <c r="M27" cm="1">
        <f t="array" aca="1" ref="M27" ca="1">CalGain(A27)</f>
        <v>128</v>
      </c>
      <c r="N27" cm="1">
        <f t="array" aca="1" ref="N27" ca="1">CalGain(B27)</f>
        <v>192</v>
      </c>
      <c r="O27" cm="1">
        <f t="array" aca="1" ref="O27" ca="1">CalGain(C27)</f>
        <v>736</v>
      </c>
      <c r="P27" cm="1">
        <f t="array" aca="1" ref="P27" ca="1">CalGain(D27)</f>
        <v>896</v>
      </c>
      <c r="Q27" cm="1">
        <f t="array" aca="1" ref="Q27" ca="1">CalGain(E27)</f>
        <v>608</v>
      </c>
      <c r="R27" cm="1">
        <f t="array" aca="1" ref="R27" ca="1">CalGain(F27)</f>
        <v>800</v>
      </c>
      <c r="S27" cm="1">
        <f t="array" aca="1" ref="S27" ca="1">CalGain(G27)</f>
        <v>736</v>
      </c>
      <c r="T27" cm="1">
        <f t="array" aca="1" ref="T27" ca="1">CalGain(H27)</f>
        <v>864</v>
      </c>
      <c r="U27" cm="1">
        <f t="array" aca="1" ref="U27" ca="1">CalGain(I27)</f>
        <v>928</v>
      </c>
      <c r="V27" cm="1">
        <f t="array" aca="1" ref="V27" ca="1">CalGain(J27)</f>
        <v>96</v>
      </c>
      <c r="W27" s="2">
        <v>8388607</v>
      </c>
      <c r="X27" s="2">
        <v>8388607</v>
      </c>
      <c r="Y27" s="2">
        <v>8388607</v>
      </c>
    </row>
    <row r="28" spans="1:25" s="1" customFormat="1" x14ac:dyDescent="0.25">
      <c r="A28" s="7">
        <f t="shared" ca="1" si="12"/>
        <v>192</v>
      </c>
      <c r="B28" s="7">
        <f t="shared" ca="1" si="12"/>
        <v>512</v>
      </c>
      <c r="C28" s="7">
        <f t="shared" ca="1" si="12"/>
        <v>256</v>
      </c>
      <c r="D28" s="7">
        <f t="shared" ca="1" si="12"/>
        <v>448</v>
      </c>
      <c r="E28" s="7">
        <f t="shared" ca="1" si="12"/>
        <v>704</v>
      </c>
      <c r="F28" s="7">
        <f t="shared" ca="1" si="12"/>
        <v>64</v>
      </c>
      <c r="G28" s="7">
        <f t="shared" ca="1" si="12"/>
        <v>384</v>
      </c>
      <c r="H28" s="7">
        <f t="shared" ca="1" si="12"/>
        <v>736</v>
      </c>
      <c r="I28" s="7">
        <f t="shared" ca="1" si="12"/>
        <v>480</v>
      </c>
      <c r="J28" s="7">
        <f t="shared" ca="1" si="12"/>
        <v>736</v>
      </c>
      <c r="K28">
        <f t="shared" ca="1" si="1"/>
        <v>1</v>
      </c>
      <c r="M28" cm="1">
        <f t="array" aca="1" ref="M28" ca="1">CalGain(A28)</f>
        <v>192</v>
      </c>
      <c r="N28" cm="1">
        <f t="array" aca="1" ref="N28" ca="1">CalGain(B28)</f>
        <v>512</v>
      </c>
      <c r="O28" cm="1">
        <f t="array" aca="1" ref="O28" ca="1">CalGain(C28)</f>
        <v>256</v>
      </c>
      <c r="P28" cm="1">
        <f t="array" aca="1" ref="P28" ca="1">CalGain(D28)</f>
        <v>448</v>
      </c>
      <c r="Q28" cm="1">
        <f t="array" aca="1" ref="Q28" ca="1">CalGain(E28)</f>
        <v>704</v>
      </c>
      <c r="R28" cm="1">
        <f t="array" aca="1" ref="R28" ca="1">CalGain(F28)</f>
        <v>64</v>
      </c>
      <c r="S28" cm="1">
        <f t="array" aca="1" ref="S28" ca="1">CalGain(G28)</f>
        <v>384</v>
      </c>
      <c r="T28" cm="1">
        <f t="array" aca="1" ref="T28" ca="1">CalGain(H28)</f>
        <v>736</v>
      </c>
      <c r="U28" cm="1">
        <f t="array" aca="1" ref="U28" ca="1">CalGain(I28)</f>
        <v>480</v>
      </c>
      <c r="V28" cm="1">
        <f t="array" aca="1" ref="V28" ca="1">CalGain(J28)</f>
        <v>736</v>
      </c>
      <c r="W28" s="1">
        <v>8388607</v>
      </c>
      <c r="X28" s="1">
        <v>8388607</v>
      </c>
      <c r="Y28" s="1">
        <v>8388607</v>
      </c>
    </row>
    <row r="29" spans="1:25" x14ac:dyDescent="0.25">
      <c r="A29" s="5">
        <f t="shared" ref="A29:J29" ca="1" si="13">RANDBETWEEN(0, 31)</f>
        <v>13</v>
      </c>
      <c r="B29" s="5">
        <f t="shared" ca="1" si="13"/>
        <v>15</v>
      </c>
      <c r="C29" s="5">
        <f t="shared" ca="1" si="13"/>
        <v>30</v>
      </c>
      <c r="D29" s="5">
        <f t="shared" ca="1" si="13"/>
        <v>31</v>
      </c>
      <c r="E29" s="5">
        <f t="shared" ca="1" si="13"/>
        <v>16</v>
      </c>
      <c r="F29" s="5">
        <f t="shared" ca="1" si="13"/>
        <v>15</v>
      </c>
      <c r="G29" s="5">
        <f t="shared" ca="1" si="13"/>
        <v>29</v>
      </c>
      <c r="H29" s="5">
        <f t="shared" ca="1" si="13"/>
        <v>9</v>
      </c>
      <c r="I29" s="5">
        <f t="shared" ca="1" si="13"/>
        <v>25</v>
      </c>
      <c r="J29" s="5">
        <f t="shared" ca="1" si="13"/>
        <v>19</v>
      </c>
      <c r="K29">
        <f t="shared" ca="1" si="1"/>
        <v>-76</v>
      </c>
      <c r="M29" cm="1">
        <f t="array" aca="1" ref="M29" ca="1">CalLoss(A29)</f>
        <v>704</v>
      </c>
      <c r="N29" cm="1">
        <f t="array" aca="1" ref="N29" ca="1">CalLoss(B29)</f>
        <v>960</v>
      </c>
      <c r="O29" cm="1">
        <f t="array" aca="1" ref="O29" ca="1">CalLoss(C29)</f>
        <v>480</v>
      </c>
      <c r="P29" cm="1">
        <f t="array" aca="1" ref="P29" ca="1">CalLoss(D29)</f>
        <v>992</v>
      </c>
      <c r="Q29" cm="1">
        <f t="array" aca="1" ref="Q29" ca="1">CalLoss(E29)</f>
        <v>32</v>
      </c>
      <c r="R29" cm="1">
        <f t="array" aca="1" ref="R29" ca="1">CalLoss(F29)</f>
        <v>960</v>
      </c>
      <c r="S29" cm="1">
        <f t="array" aca="1" ref="S29" ca="1">CalLoss(G29)</f>
        <v>736</v>
      </c>
      <c r="T29" cm="1">
        <f t="array" aca="1" ref="T29" ca="1">CalLoss(H29)</f>
        <v>576</v>
      </c>
      <c r="U29" cm="1">
        <f t="array" aca="1" ref="U29" ca="1">CalLoss(I29)</f>
        <v>608</v>
      </c>
      <c r="V29" cm="1">
        <f t="array" aca="1" ref="V29" ca="1">CalLoss(J29)</f>
        <v>800</v>
      </c>
      <c r="W29">
        <v>68</v>
      </c>
      <c r="X29">
        <v>341</v>
      </c>
      <c r="Y29">
        <v>341</v>
      </c>
    </row>
    <row r="30" spans="1:25" s="1" customFormat="1" x14ac:dyDescent="0.25">
      <c r="A30" s="7">
        <f t="shared" ca="1" si="12"/>
        <v>160</v>
      </c>
      <c r="B30" s="7">
        <f t="shared" ca="1" si="12"/>
        <v>896</v>
      </c>
      <c r="C30" s="7">
        <f t="shared" ca="1" si="12"/>
        <v>928</v>
      </c>
      <c r="D30" s="7">
        <f t="shared" ca="1" si="12"/>
        <v>672</v>
      </c>
      <c r="E30" s="7">
        <f t="shared" ca="1" si="12"/>
        <v>960</v>
      </c>
      <c r="F30" s="7">
        <f t="shared" ca="1" si="12"/>
        <v>704</v>
      </c>
      <c r="G30" s="7">
        <f t="shared" ca="1" si="12"/>
        <v>320</v>
      </c>
      <c r="H30" s="7">
        <f t="shared" ca="1" si="12"/>
        <v>640</v>
      </c>
      <c r="I30" s="7">
        <f t="shared" ca="1" si="12"/>
        <v>512</v>
      </c>
      <c r="J30" s="7">
        <f t="shared" ca="1" si="12"/>
        <v>928</v>
      </c>
      <c r="K30">
        <f t="shared" ca="1" si="1"/>
        <v>103</v>
      </c>
      <c r="M30" cm="1">
        <f t="array" aca="1" ref="M30" ca="1">CalGain(A30)</f>
        <v>160</v>
      </c>
      <c r="N30" cm="1">
        <f t="array" aca="1" ref="N30" ca="1">CalGain(B30)</f>
        <v>896</v>
      </c>
      <c r="O30" cm="1">
        <f t="array" aca="1" ref="O30" ca="1">CalGain(C30)</f>
        <v>928</v>
      </c>
      <c r="P30" cm="1">
        <f t="array" aca="1" ref="P30" ca="1">CalGain(D30)</f>
        <v>672</v>
      </c>
      <c r="Q30" cm="1">
        <f t="array" aca="1" ref="Q30" ca="1">CalGain(E30)</f>
        <v>960</v>
      </c>
      <c r="R30" cm="1">
        <f t="array" aca="1" ref="R30" ca="1">CalGain(F30)</f>
        <v>704</v>
      </c>
      <c r="S30" cm="1">
        <f t="array" aca="1" ref="S30" ca="1">CalGain(G30)</f>
        <v>320</v>
      </c>
      <c r="T30" cm="1">
        <f t="array" aca="1" ref="T30" ca="1">CalGain(H30)</f>
        <v>640</v>
      </c>
      <c r="U30" cm="1">
        <f t="array" aca="1" ref="U30" ca="1">CalGain(I30)</f>
        <v>512</v>
      </c>
      <c r="V30" cm="1">
        <f t="array" aca="1" ref="V30" ca="1">CalGain(J30)</f>
        <v>928</v>
      </c>
      <c r="W30" s="1">
        <v>8388607</v>
      </c>
      <c r="X30" s="1">
        <v>8388607</v>
      </c>
      <c r="Y30" s="1">
        <v>8388607</v>
      </c>
    </row>
    <row r="31" spans="1:25" x14ac:dyDescent="0.25">
      <c r="A31" s="5">
        <f t="shared" ref="A31:J31" ca="1" si="14">RANDBETWEEN(0, 31)</f>
        <v>18</v>
      </c>
      <c r="B31" s="5">
        <f t="shared" ca="1" si="14"/>
        <v>5</v>
      </c>
      <c r="C31" s="5">
        <f t="shared" ca="1" si="14"/>
        <v>22</v>
      </c>
      <c r="D31" s="5">
        <f t="shared" ca="1" si="14"/>
        <v>6</v>
      </c>
      <c r="E31" s="5">
        <f t="shared" ca="1" si="14"/>
        <v>11</v>
      </c>
      <c r="F31" s="5">
        <f t="shared" ca="1" si="14"/>
        <v>6</v>
      </c>
      <c r="G31" s="5">
        <f t="shared" ca="1" si="14"/>
        <v>3</v>
      </c>
      <c r="H31" s="5">
        <f t="shared" ca="1" si="14"/>
        <v>25</v>
      </c>
      <c r="I31" s="5">
        <f t="shared" ca="1" si="14"/>
        <v>28</v>
      </c>
      <c r="J31" s="5">
        <f t="shared" ca="1" si="14"/>
        <v>11</v>
      </c>
      <c r="K31">
        <f t="shared" ca="1" si="1"/>
        <v>101</v>
      </c>
      <c r="M31" cm="1">
        <f t="array" aca="1" ref="M31" ca="1">CalLoss(A31)</f>
        <v>288</v>
      </c>
      <c r="N31" cm="1">
        <f t="array" aca="1" ref="N31" ca="1">CalLoss(B31)</f>
        <v>640</v>
      </c>
      <c r="O31" cm="1">
        <f t="array" aca="1" ref="O31" ca="1">CalLoss(C31)</f>
        <v>416</v>
      </c>
      <c r="P31" cm="1">
        <f t="array" aca="1" ref="P31" ca="1">CalLoss(D31)</f>
        <v>384</v>
      </c>
      <c r="Q31" cm="1">
        <f t="array" aca="1" ref="Q31" ca="1">CalLoss(E31)</f>
        <v>832</v>
      </c>
      <c r="R31" cm="1">
        <f t="array" aca="1" ref="R31" ca="1">CalLoss(F31)</f>
        <v>384</v>
      </c>
      <c r="S31" cm="1">
        <f t="array" aca="1" ref="S31" ca="1">CalLoss(G31)</f>
        <v>768</v>
      </c>
      <c r="T31" cm="1">
        <f t="array" aca="1" ref="T31" ca="1">CalLoss(H31)</f>
        <v>608</v>
      </c>
      <c r="U31" cm="1">
        <f t="array" aca="1" ref="U31" ca="1">CalLoss(I31)</f>
        <v>224</v>
      </c>
      <c r="V31" cm="1">
        <f t="array" aca="1" ref="V31" ca="1">CalLoss(J31)</f>
        <v>832</v>
      </c>
      <c r="W31">
        <v>511</v>
      </c>
      <c r="X31">
        <v>40</v>
      </c>
      <c r="Y31">
        <v>40</v>
      </c>
    </row>
    <row r="32" spans="1:25" s="1" customFormat="1" x14ac:dyDescent="0.25">
      <c r="A32" s="7">
        <f t="shared" ca="1" si="12"/>
        <v>384</v>
      </c>
      <c r="B32" s="7">
        <f t="shared" ca="1" si="12"/>
        <v>128</v>
      </c>
      <c r="C32" s="7">
        <f t="shared" ca="1" si="12"/>
        <v>416</v>
      </c>
      <c r="D32" s="7">
        <f t="shared" ca="1" si="12"/>
        <v>480</v>
      </c>
      <c r="E32" s="7">
        <f t="shared" ca="1" si="12"/>
        <v>0</v>
      </c>
      <c r="F32" s="7">
        <f t="shared" ca="1" si="12"/>
        <v>640</v>
      </c>
      <c r="G32" s="7">
        <f t="shared" ca="1" si="12"/>
        <v>384</v>
      </c>
      <c r="H32" s="7">
        <f t="shared" ca="1" si="12"/>
        <v>576</v>
      </c>
      <c r="I32" s="7">
        <f t="shared" ca="1" si="12"/>
        <v>736</v>
      </c>
      <c r="J32" s="7">
        <f t="shared" ca="1" si="12"/>
        <v>0</v>
      </c>
      <c r="K32">
        <f t="shared" ca="1" si="1"/>
        <v>-59</v>
      </c>
      <c r="M32" cm="1">
        <f t="array" aca="1" ref="M32" ca="1">CalGain(A32)</f>
        <v>384</v>
      </c>
      <c r="N32" cm="1">
        <f t="array" aca="1" ref="N32" ca="1">CalGain(B32)</f>
        <v>128</v>
      </c>
      <c r="O32" cm="1">
        <f t="array" aca="1" ref="O32" ca="1">CalGain(C32)</f>
        <v>416</v>
      </c>
      <c r="P32" cm="1">
        <f t="array" aca="1" ref="P32" ca="1">CalGain(D32)</f>
        <v>480</v>
      </c>
      <c r="Q32" cm="1">
        <f t="array" aca="1" ref="Q32" ca="1">CalGain(E32)</f>
        <v>0</v>
      </c>
      <c r="R32" cm="1">
        <f t="array" aca="1" ref="R32" ca="1">CalGain(F32)</f>
        <v>640</v>
      </c>
      <c r="S32" cm="1">
        <f t="array" aca="1" ref="S32" ca="1">CalGain(G32)</f>
        <v>384</v>
      </c>
      <c r="T32" cm="1">
        <f t="array" aca="1" ref="T32" ca="1">CalGain(H32)</f>
        <v>576</v>
      </c>
      <c r="U32" cm="1">
        <f t="array" aca="1" ref="U32" ca="1">CalGain(I32)</f>
        <v>736</v>
      </c>
      <c r="V32" cm="1">
        <f t="array" aca="1" ref="V32" ca="1">CalGain(J32)</f>
        <v>0</v>
      </c>
      <c r="W32" s="1">
        <v>8388352</v>
      </c>
      <c r="X32" s="1">
        <v>6291264</v>
      </c>
      <c r="Y32" s="1">
        <v>8388352</v>
      </c>
    </row>
    <row r="33" spans="1:25" x14ac:dyDescent="0.25">
      <c r="A33" s="5">
        <f t="shared" ref="A33:J33" ca="1" si="15">RANDBETWEEN(0, 31)</f>
        <v>13</v>
      </c>
      <c r="B33" s="5">
        <f t="shared" ca="1" si="15"/>
        <v>20</v>
      </c>
      <c r="C33" s="5">
        <f t="shared" ca="1" si="15"/>
        <v>9</v>
      </c>
      <c r="D33" s="5">
        <f t="shared" ca="1" si="15"/>
        <v>13</v>
      </c>
      <c r="E33" s="5">
        <f t="shared" ca="1" si="15"/>
        <v>5</v>
      </c>
      <c r="F33" s="5">
        <f t="shared" ca="1" si="15"/>
        <v>18</v>
      </c>
      <c r="G33" s="5">
        <f t="shared" ca="1" si="15"/>
        <v>3</v>
      </c>
      <c r="H33" s="5">
        <f t="shared" ca="1" si="15"/>
        <v>10</v>
      </c>
      <c r="I33" s="5">
        <f t="shared" ca="1" si="15"/>
        <v>25</v>
      </c>
      <c r="J33" s="5">
        <f t="shared" ca="1" si="15"/>
        <v>25</v>
      </c>
      <c r="K33">
        <f t="shared" ca="1" si="1"/>
        <v>-20</v>
      </c>
      <c r="M33" cm="1">
        <f t="array" aca="1" ref="M33" ca="1">CalLoss(A33)</f>
        <v>704</v>
      </c>
      <c r="N33" cm="1">
        <f t="array" aca="1" ref="N33" ca="1">CalLoss(B33)</f>
        <v>160</v>
      </c>
      <c r="O33" cm="1">
        <f t="array" aca="1" ref="O33" ca="1">CalLoss(C33)</f>
        <v>576</v>
      </c>
      <c r="P33" cm="1">
        <f t="array" aca="1" ref="P33" ca="1">CalLoss(D33)</f>
        <v>704</v>
      </c>
      <c r="Q33" cm="1">
        <f t="array" aca="1" ref="Q33" ca="1">CalLoss(E33)</f>
        <v>640</v>
      </c>
      <c r="R33" cm="1">
        <f t="array" aca="1" ref="R33" ca="1">CalLoss(F33)</f>
        <v>288</v>
      </c>
      <c r="S33" cm="1">
        <f t="array" aca="1" ref="S33" ca="1">CalLoss(G33)</f>
        <v>768</v>
      </c>
      <c r="T33" cm="1">
        <f t="array" aca="1" ref="T33" ca="1">CalLoss(H33)</f>
        <v>320</v>
      </c>
      <c r="U33" cm="1">
        <f t="array" aca="1" ref="U33" ca="1">CalLoss(I33)</f>
        <v>608</v>
      </c>
      <c r="V33" cm="1">
        <f t="array" aca="1" ref="V33" ca="1">CalLoss(J33)</f>
        <v>608</v>
      </c>
      <c r="W33">
        <v>255</v>
      </c>
      <c r="X33">
        <v>204</v>
      </c>
      <c r="Y33">
        <v>204</v>
      </c>
    </row>
    <row r="34" spans="1:25" s="1" customFormat="1" x14ac:dyDescent="0.25">
      <c r="A34" s="7">
        <f t="shared" ca="1" si="12"/>
        <v>544</v>
      </c>
      <c r="B34" s="7">
        <f t="shared" ca="1" si="12"/>
        <v>864</v>
      </c>
      <c r="C34" s="7">
        <f t="shared" ca="1" si="12"/>
        <v>0</v>
      </c>
      <c r="D34" s="7">
        <f t="shared" ca="1" si="12"/>
        <v>768</v>
      </c>
      <c r="E34" s="7">
        <f t="shared" ca="1" si="12"/>
        <v>192</v>
      </c>
      <c r="F34" s="7">
        <f t="shared" ca="1" si="12"/>
        <v>576</v>
      </c>
      <c r="G34" s="7">
        <f t="shared" ca="1" si="12"/>
        <v>32</v>
      </c>
      <c r="H34" s="7">
        <f t="shared" ca="1" si="12"/>
        <v>64</v>
      </c>
      <c r="I34" s="7">
        <f t="shared" ca="1" si="12"/>
        <v>288</v>
      </c>
      <c r="J34" s="7">
        <f t="shared" ca="1" si="12"/>
        <v>480</v>
      </c>
      <c r="K34">
        <f t="shared" ca="1" si="1"/>
        <v>0</v>
      </c>
      <c r="M34" cm="1">
        <f t="array" aca="1" ref="M34" ca="1">CalGain(A34)</f>
        <v>544</v>
      </c>
      <c r="N34" cm="1">
        <f t="array" aca="1" ref="N34" ca="1">CalGain(B34)</f>
        <v>864</v>
      </c>
      <c r="O34" cm="1">
        <f t="array" aca="1" ref="O34" ca="1">CalGain(C34)</f>
        <v>0</v>
      </c>
      <c r="P34" cm="1">
        <f t="array" aca="1" ref="P34" ca="1">CalGain(D34)</f>
        <v>768</v>
      </c>
      <c r="Q34" cm="1">
        <f t="array" aca="1" ref="Q34" ca="1">CalGain(E34)</f>
        <v>192</v>
      </c>
      <c r="R34" cm="1">
        <f t="array" aca="1" ref="R34" ca="1">CalGain(F34)</f>
        <v>576</v>
      </c>
      <c r="S34" cm="1">
        <f t="array" aca="1" ref="S34" ca="1">CalGain(G34)</f>
        <v>32</v>
      </c>
      <c r="T34" cm="1">
        <f t="array" aca="1" ref="T34" ca="1">CalGain(H34)</f>
        <v>64</v>
      </c>
      <c r="U34" cm="1">
        <f t="array" aca="1" ref="U34" ca="1">CalGain(I34)</f>
        <v>288</v>
      </c>
      <c r="V34" cm="1">
        <f t="array" aca="1" ref="V34" ca="1">CalGain(J34)</f>
        <v>480</v>
      </c>
      <c r="W34" s="1">
        <v>8388352</v>
      </c>
      <c r="X34" s="1">
        <v>8388607</v>
      </c>
      <c r="Y34" s="1">
        <v>8388352</v>
      </c>
    </row>
    <row r="35" spans="1:25" x14ac:dyDescent="0.25">
      <c r="A35" s="5">
        <f t="shared" ref="A35:J35" ca="1" si="16">RANDBETWEEN(0, 31)</f>
        <v>22</v>
      </c>
      <c r="B35" s="5">
        <f t="shared" ca="1" si="16"/>
        <v>18</v>
      </c>
      <c r="C35" s="5">
        <f t="shared" ca="1" si="16"/>
        <v>10</v>
      </c>
      <c r="D35" s="5">
        <f t="shared" ca="1" si="16"/>
        <v>6</v>
      </c>
      <c r="E35" s="5">
        <f t="shared" ca="1" si="16"/>
        <v>25</v>
      </c>
      <c r="F35" s="5">
        <f t="shared" ca="1" si="16"/>
        <v>30</v>
      </c>
      <c r="G35" s="5">
        <f t="shared" ca="1" si="16"/>
        <v>25</v>
      </c>
      <c r="H35" s="5">
        <f t="shared" ca="1" si="16"/>
        <v>11</v>
      </c>
      <c r="I35" s="5">
        <f t="shared" ca="1" si="16"/>
        <v>15</v>
      </c>
      <c r="J35" s="5">
        <f t="shared" ca="1" si="16"/>
        <v>19</v>
      </c>
      <c r="K35">
        <f t="shared" ca="1" si="1"/>
        <v>66</v>
      </c>
      <c r="M35" cm="1">
        <f t="array" aca="1" ref="M35" ca="1">CalLoss(A35)</f>
        <v>416</v>
      </c>
      <c r="N35" cm="1">
        <f t="array" aca="1" ref="N35" ca="1">CalLoss(B35)</f>
        <v>288</v>
      </c>
      <c r="O35" cm="1">
        <f t="array" aca="1" ref="O35" ca="1">CalLoss(C35)</f>
        <v>320</v>
      </c>
      <c r="P35" cm="1">
        <f t="array" aca="1" ref="P35" ca="1">CalLoss(D35)</f>
        <v>384</v>
      </c>
      <c r="Q35" cm="1">
        <f t="array" aca="1" ref="Q35" ca="1">CalLoss(E35)</f>
        <v>608</v>
      </c>
      <c r="R35" cm="1">
        <f t="array" aca="1" ref="R35" ca="1">CalLoss(F35)</f>
        <v>480</v>
      </c>
      <c r="S35" cm="1">
        <f t="array" aca="1" ref="S35" ca="1">CalLoss(G35)</f>
        <v>608</v>
      </c>
      <c r="T35" cm="1">
        <f t="array" aca="1" ref="T35" ca="1">CalLoss(H35)</f>
        <v>832</v>
      </c>
      <c r="U35" cm="1">
        <f t="array" aca="1" ref="U35" ca="1">CalLoss(I35)</f>
        <v>960</v>
      </c>
      <c r="V35" cm="1">
        <f t="array" aca="1" ref="V35" ca="1">CalLoss(J35)</f>
        <v>800</v>
      </c>
      <c r="W35">
        <v>56</v>
      </c>
      <c r="X35">
        <v>46</v>
      </c>
      <c r="Y35">
        <v>46</v>
      </c>
    </row>
    <row r="36" spans="1:25" s="1" customFormat="1" x14ac:dyDescent="0.25">
      <c r="A36" s="7">
        <f t="shared" ca="1" si="12"/>
        <v>352</v>
      </c>
      <c r="B36" s="7">
        <f t="shared" ca="1" si="12"/>
        <v>0</v>
      </c>
      <c r="C36" s="7">
        <f t="shared" ca="1" si="12"/>
        <v>32</v>
      </c>
      <c r="D36" s="7">
        <f t="shared" ca="1" si="12"/>
        <v>576</v>
      </c>
      <c r="E36" s="7">
        <f t="shared" ca="1" si="12"/>
        <v>640</v>
      </c>
      <c r="F36" s="7">
        <f t="shared" ca="1" si="12"/>
        <v>160</v>
      </c>
      <c r="G36" s="7">
        <f t="shared" ca="1" si="12"/>
        <v>352</v>
      </c>
      <c r="H36" s="7">
        <f t="shared" ca="1" si="12"/>
        <v>512</v>
      </c>
      <c r="I36" s="7">
        <f t="shared" ca="1" si="12"/>
        <v>64</v>
      </c>
      <c r="J36" s="7">
        <f t="shared" ca="1" si="12"/>
        <v>96</v>
      </c>
      <c r="K36">
        <f t="shared" ca="1" si="1"/>
        <v>0</v>
      </c>
      <c r="M36" cm="1">
        <f t="array" aca="1" ref="M36" ca="1">CalGain(A36)</f>
        <v>352</v>
      </c>
      <c r="N36" cm="1">
        <f t="array" aca="1" ref="N36" ca="1">CalGain(B36)</f>
        <v>0</v>
      </c>
      <c r="O36" cm="1">
        <f t="array" aca="1" ref="O36" ca="1">CalGain(C36)</f>
        <v>32</v>
      </c>
      <c r="P36" cm="1">
        <f t="array" aca="1" ref="P36" ca="1">CalGain(D36)</f>
        <v>576</v>
      </c>
      <c r="Q36" cm="1">
        <f t="array" aca="1" ref="Q36" ca="1">CalGain(E36)</f>
        <v>640</v>
      </c>
      <c r="R36" cm="1">
        <f t="array" aca="1" ref="R36" ca="1">CalGain(F36)</f>
        <v>160</v>
      </c>
      <c r="S36" cm="1">
        <f t="array" aca="1" ref="S36" ca="1">CalGain(G36)</f>
        <v>352</v>
      </c>
      <c r="T36" cm="1">
        <f t="array" aca="1" ref="T36" ca="1">CalGain(H36)</f>
        <v>512</v>
      </c>
      <c r="U36" cm="1">
        <f t="array" aca="1" ref="U36" ca="1">CalGain(I36)</f>
        <v>64</v>
      </c>
      <c r="V36" cm="1">
        <f t="array" aca="1" ref="V36" ca="1">CalGain(J36)</f>
        <v>96</v>
      </c>
      <c r="W36" s="1">
        <v>8388607</v>
      </c>
      <c r="X36" s="1">
        <v>8388607</v>
      </c>
      <c r="Y36" s="1">
        <v>8388607</v>
      </c>
    </row>
    <row r="37" spans="1:25" x14ac:dyDescent="0.25">
      <c r="A37" s="5">
        <f t="shared" ref="A37:J37" ca="1" si="17">RANDBETWEEN(0, 31)</f>
        <v>14</v>
      </c>
      <c r="B37" s="5">
        <f t="shared" ca="1" si="17"/>
        <v>0</v>
      </c>
      <c r="C37" s="5">
        <f t="shared" ca="1" si="17"/>
        <v>11</v>
      </c>
      <c r="D37" s="5">
        <f t="shared" ca="1" si="17"/>
        <v>15</v>
      </c>
      <c r="E37" s="5">
        <f t="shared" ca="1" si="17"/>
        <v>1</v>
      </c>
      <c r="F37" s="5">
        <f t="shared" ca="1" si="17"/>
        <v>29</v>
      </c>
      <c r="G37" s="5">
        <f t="shared" ca="1" si="17"/>
        <v>16</v>
      </c>
      <c r="H37" s="5">
        <f t="shared" ca="1" si="17"/>
        <v>30</v>
      </c>
      <c r="I37" s="5">
        <f t="shared" ca="1" si="17"/>
        <v>30</v>
      </c>
      <c r="J37" s="5">
        <f t="shared" ca="1" si="17"/>
        <v>12</v>
      </c>
      <c r="K37">
        <f t="shared" ca="1" si="1"/>
        <v>-127</v>
      </c>
      <c r="M37" cm="1">
        <f t="array" aca="1" ref="M37" ca="1">CalLoss(A37)</f>
        <v>448</v>
      </c>
      <c r="N37" cm="1">
        <f t="array" aca="1" ref="N37" ca="1">CalLoss(B37)</f>
        <v>0</v>
      </c>
      <c r="O37" cm="1">
        <f t="array" aca="1" ref="O37" ca="1">CalLoss(C37)</f>
        <v>832</v>
      </c>
      <c r="P37" cm="1">
        <f t="array" aca="1" ref="P37" ca="1">CalLoss(D37)</f>
        <v>960</v>
      </c>
      <c r="Q37" cm="1">
        <f t="array" aca="1" ref="Q37" ca="1">CalLoss(E37)</f>
        <v>512</v>
      </c>
      <c r="R37" cm="1">
        <f t="array" aca="1" ref="R37" ca="1">CalLoss(F37)</f>
        <v>736</v>
      </c>
      <c r="S37" cm="1">
        <f t="array" aca="1" ref="S37" ca="1">CalLoss(G37)</f>
        <v>32</v>
      </c>
      <c r="T37" cm="1">
        <f t="array" aca="1" ref="T37" ca="1">CalLoss(H37)</f>
        <v>480</v>
      </c>
      <c r="U37" cm="1">
        <f t="array" aca="1" ref="U37" ca="1">CalLoss(I37)</f>
        <v>480</v>
      </c>
      <c r="V37" cm="1">
        <f t="array" aca="1" ref="V37" ca="1">CalLoss(J37)</f>
        <v>192</v>
      </c>
      <c r="W37">
        <v>53</v>
      </c>
      <c r="X37">
        <v>46</v>
      </c>
      <c r="Y37">
        <v>46</v>
      </c>
    </row>
    <row r="38" spans="1:25" s="1" customFormat="1" x14ac:dyDescent="0.25">
      <c r="A38" s="7">
        <f t="shared" ca="1" si="12"/>
        <v>832</v>
      </c>
      <c r="B38" s="7">
        <f t="shared" ca="1" si="12"/>
        <v>64</v>
      </c>
      <c r="C38" s="7">
        <f t="shared" ca="1" si="12"/>
        <v>448</v>
      </c>
      <c r="D38" s="7">
        <f t="shared" ca="1" si="12"/>
        <v>960</v>
      </c>
      <c r="E38" s="7">
        <f t="shared" ca="1" si="12"/>
        <v>704</v>
      </c>
      <c r="F38" s="7">
        <f t="shared" ca="1" si="12"/>
        <v>192</v>
      </c>
      <c r="G38" s="7">
        <f t="shared" ca="1" si="12"/>
        <v>576</v>
      </c>
      <c r="H38" s="7">
        <f t="shared" ca="1" si="12"/>
        <v>768</v>
      </c>
      <c r="I38" s="7">
        <f t="shared" ca="1" si="12"/>
        <v>672</v>
      </c>
      <c r="J38" s="7">
        <f t="shared" ca="1" si="12"/>
        <v>512</v>
      </c>
      <c r="K38">
        <f t="shared" ca="1" si="1"/>
        <v>-63</v>
      </c>
      <c r="M38" cm="1">
        <f t="array" aca="1" ref="M38" ca="1">CalGain(A38)</f>
        <v>832</v>
      </c>
      <c r="N38" cm="1">
        <f t="array" aca="1" ref="N38" ca="1">CalGain(B38)</f>
        <v>64</v>
      </c>
      <c r="O38" cm="1">
        <f t="array" aca="1" ref="O38" ca="1">CalGain(C38)</f>
        <v>448</v>
      </c>
      <c r="P38" cm="1">
        <f t="array" aca="1" ref="P38" ca="1">CalGain(D38)</f>
        <v>960</v>
      </c>
      <c r="Q38" cm="1">
        <f t="array" aca="1" ref="Q38" ca="1">CalGain(E38)</f>
        <v>704</v>
      </c>
      <c r="R38" cm="1">
        <f t="array" aca="1" ref="R38" ca="1">CalGain(F38)</f>
        <v>192</v>
      </c>
      <c r="S38" cm="1">
        <f t="array" aca="1" ref="S38" ca="1">CalGain(G38)</f>
        <v>576</v>
      </c>
      <c r="T38" cm="1">
        <f t="array" aca="1" ref="T38" ca="1">CalGain(H38)</f>
        <v>768</v>
      </c>
      <c r="U38" cm="1">
        <f t="array" aca="1" ref="U38" ca="1">CalGain(I38)</f>
        <v>672</v>
      </c>
      <c r="V38" cm="1">
        <f t="array" aca="1" ref="V38" ca="1">CalGain(J38)</f>
        <v>512</v>
      </c>
      <c r="W38" s="1">
        <v>8388607</v>
      </c>
      <c r="X38" s="1">
        <v>6291264</v>
      </c>
      <c r="Y38" s="1">
        <v>8388607</v>
      </c>
    </row>
    <row r="39" spans="1:25" x14ac:dyDescent="0.25">
      <c r="A39" s="5">
        <f t="shared" ref="A39:J39" ca="1" si="18">RANDBETWEEN(0, 31)</f>
        <v>27</v>
      </c>
      <c r="B39" s="5">
        <f t="shared" ca="1" si="18"/>
        <v>18</v>
      </c>
      <c r="C39" s="5">
        <f t="shared" ca="1" si="18"/>
        <v>3</v>
      </c>
      <c r="D39" s="5">
        <f t="shared" ca="1" si="18"/>
        <v>4</v>
      </c>
      <c r="E39" s="5">
        <f t="shared" ca="1" si="18"/>
        <v>17</v>
      </c>
      <c r="F39" s="5">
        <f t="shared" ca="1" si="18"/>
        <v>11</v>
      </c>
      <c r="G39" s="5">
        <f t="shared" ca="1" si="18"/>
        <v>24</v>
      </c>
      <c r="H39" s="5">
        <f t="shared" ca="1" si="18"/>
        <v>28</v>
      </c>
      <c r="I39" s="5">
        <f t="shared" ca="1" si="18"/>
        <v>1</v>
      </c>
      <c r="J39" s="5">
        <f t="shared" ca="1" si="18"/>
        <v>15</v>
      </c>
      <c r="K39">
        <f t="shared" ca="1" si="1"/>
        <v>8</v>
      </c>
      <c r="M39" cm="1">
        <f t="array" aca="1" ref="M39" ca="1">CalLoss(A39)</f>
        <v>864</v>
      </c>
      <c r="N39" cm="1">
        <f t="array" aca="1" ref="N39" ca="1">CalLoss(B39)</f>
        <v>288</v>
      </c>
      <c r="O39" cm="1">
        <f t="array" aca="1" ref="O39" ca="1">CalLoss(C39)</f>
        <v>768</v>
      </c>
      <c r="P39" cm="1">
        <f t="array" aca="1" ref="P39" ca="1">CalLoss(D39)</f>
        <v>128</v>
      </c>
      <c r="Q39" cm="1">
        <f t="array" aca="1" ref="Q39" ca="1">CalLoss(E39)</f>
        <v>544</v>
      </c>
      <c r="R39" cm="1">
        <f t="array" aca="1" ref="R39" ca="1">CalLoss(F39)</f>
        <v>832</v>
      </c>
      <c r="S39" cm="1">
        <f t="array" aca="1" ref="S39" ca="1">CalLoss(G39)</f>
        <v>96</v>
      </c>
      <c r="T39" cm="1">
        <f t="array" aca="1" ref="T39" ca="1">CalLoss(H39)</f>
        <v>224</v>
      </c>
      <c r="U39" cm="1">
        <f t="array" aca="1" ref="U39" ca="1">CalLoss(I39)</f>
        <v>512</v>
      </c>
      <c r="V39" cm="1">
        <f t="array" aca="1" ref="V39" ca="1">CalLoss(J39)</f>
        <v>960</v>
      </c>
      <c r="W39">
        <v>46</v>
      </c>
      <c r="X39">
        <v>78</v>
      </c>
      <c r="Y39">
        <v>78</v>
      </c>
    </row>
    <row r="40" spans="1:25" s="1" customFormat="1" x14ac:dyDescent="0.25">
      <c r="A40" s="7">
        <f t="shared" ca="1" si="12"/>
        <v>288</v>
      </c>
      <c r="B40" s="7">
        <f t="shared" ca="1" si="12"/>
        <v>672</v>
      </c>
      <c r="C40" s="7">
        <f t="shared" ca="1" si="12"/>
        <v>832</v>
      </c>
      <c r="D40" s="7">
        <f t="shared" ca="1" si="12"/>
        <v>704</v>
      </c>
      <c r="E40" s="7">
        <f t="shared" ca="1" si="12"/>
        <v>768</v>
      </c>
      <c r="F40" s="7">
        <f t="shared" ca="1" si="12"/>
        <v>160</v>
      </c>
      <c r="G40" s="7">
        <f t="shared" ca="1" si="12"/>
        <v>160</v>
      </c>
      <c r="H40" s="7">
        <f t="shared" ca="1" si="12"/>
        <v>480</v>
      </c>
      <c r="I40" s="7">
        <f t="shared" ca="1" si="12"/>
        <v>672</v>
      </c>
      <c r="J40" s="7">
        <f t="shared" ca="1" si="12"/>
        <v>928</v>
      </c>
      <c r="K40">
        <f t="shared" ca="1" si="1"/>
        <v>59</v>
      </c>
      <c r="M40" cm="1">
        <f t="array" aca="1" ref="M40" ca="1">CalGain(A40)</f>
        <v>288</v>
      </c>
      <c r="N40" cm="1">
        <f t="array" aca="1" ref="N40" ca="1">CalGain(B40)</f>
        <v>672</v>
      </c>
      <c r="O40" cm="1">
        <f t="array" aca="1" ref="O40" ca="1">CalGain(C40)</f>
        <v>832</v>
      </c>
      <c r="P40" cm="1">
        <f t="array" aca="1" ref="P40" ca="1">CalGain(D40)</f>
        <v>704</v>
      </c>
      <c r="Q40" cm="1">
        <f t="array" aca="1" ref="Q40" ca="1">CalGain(E40)</f>
        <v>768</v>
      </c>
      <c r="R40" cm="1">
        <f t="array" aca="1" ref="R40" ca="1">CalGain(F40)</f>
        <v>160</v>
      </c>
      <c r="S40" cm="1">
        <f t="array" aca="1" ref="S40" ca="1">CalGain(G40)</f>
        <v>160</v>
      </c>
      <c r="T40" cm="1">
        <f t="array" aca="1" ref="T40" ca="1">CalGain(H40)</f>
        <v>480</v>
      </c>
      <c r="U40" cm="1">
        <f t="array" aca="1" ref="U40" ca="1">CalGain(I40)</f>
        <v>672</v>
      </c>
      <c r="V40" cm="1">
        <f t="array" aca="1" ref="V40" ca="1">CalGain(J40)</f>
        <v>928</v>
      </c>
      <c r="W40" s="1">
        <v>8388607</v>
      </c>
      <c r="X40" s="1">
        <v>8388607</v>
      </c>
      <c r="Y40" s="1">
        <v>8388607</v>
      </c>
    </row>
    <row r="41" spans="1:25" x14ac:dyDescent="0.25">
      <c r="A41" s="5">
        <f t="shared" ref="A41:J41" ca="1" si="19">RANDBETWEEN(0, 31)</f>
        <v>18</v>
      </c>
      <c r="B41" s="5">
        <f t="shared" ca="1" si="19"/>
        <v>11</v>
      </c>
      <c r="C41" s="5">
        <f t="shared" ca="1" si="19"/>
        <v>22</v>
      </c>
      <c r="D41" s="5">
        <f t="shared" ca="1" si="19"/>
        <v>19</v>
      </c>
      <c r="E41" s="5">
        <f t="shared" ca="1" si="19"/>
        <v>28</v>
      </c>
      <c r="F41" s="5">
        <f t="shared" ca="1" si="19"/>
        <v>0</v>
      </c>
      <c r="G41" s="5">
        <f t="shared" ca="1" si="19"/>
        <v>29</v>
      </c>
      <c r="H41" s="5">
        <f t="shared" ca="1" si="19"/>
        <v>30</v>
      </c>
      <c r="I41" s="5">
        <f t="shared" ca="1" si="19"/>
        <v>8</v>
      </c>
      <c r="J41" s="5">
        <f t="shared" ca="1" si="19"/>
        <v>30</v>
      </c>
      <c r="K41">
        <f t="shared" ca="1" si="1"/>
        <v>95</v>
      </c>
      <c r="M41" cm="1">
        <f t="array" aca="1" ref="M41" ca="1">CalLoss(A41)</f>
        <v>288</v>
      </c>
      <c r="N41" cm="1">
        <f t="array" aca="1" ref="N41" ca="1">CalLoss(B41)</f>
        <v>832</v>
      </c>
      <c r="O41" cm="1">
        <f t="array" aca="1" ref="O41" ca="1">CalLoss(C41)</f>
        <v>416</v>
      </c>
      <c r="P41" cm="1">
        <f t="array" aca="1" ref="P41" ca="1">CalLoss(D41)</f>
        <v>800</v>
      </c>
      <c r="Q41" cm="1">
        <f t="array" aca="1" ref="Q41" ca="1">CalLoss(E41)</f>
        <v>224</v>
      </c>
      <c r="R41" cm="1">
        <f t="array" aca="1" ref="R41" ca="1">CalLoss(F41)</f>
        <v>0</v>
      </c>
      <c r="S41" cm="1">
        <f t="array" aca="1" ref="S41" ca="1">CalLoss(G41)</f>
        <v>736</v>
      </c>
      <c r="T41" cm="1">
        <f t="array" aca="1" ref="T41" ca="1">CalLoss(H41)</f>
        <v>480</v>
      </c>
      <c r="U41" cm="1">
        <f t="array" aca="1" ref="U41" ca="1">CalLoss(I41)</f>
        <v>64</v>
      </c>
      <c r="V41" cm="1">
        <f t="array" aca="1" ref="V41" ca="1">CalLoss(J41)</f>
        <v>480</v>
      </c>
      <c r="W41">
        <v>102</v>
      </c>
      <c r="X41">
        <v>39</v>
      </c>
      <c r="Y41">
        <v>39</v>
      </c>
    </row>
    <row r="42" spans="1:25" s="1" customFormat="1" x14ac:dyDescent="0.25">
      <c r="A42" s="7">
        <f t="shared" ca="1" si="12"/>
        <v>224</v>
      </c>
      <c r="B42" s="7">
        <f t="shared" ca="1" si="12"/>
        <v>896</v>
      </c>
      <c r="C42" s="7">
        <f t="shared" ca="1" si="12"/>
        <v>448</v>
      </c>
      <c r="D42" s="7">
        <f t="shared" ca="1" si="12"/>
        <v>864</v>
      </c>
      <c r="E42" s="7">
        <f t="shared" ca="1" si="12"/>
        <v>736</v>
      </c>
      <c r="F42" s="7">
        <f t="shared" ca="1" si="12"/>
        <v>960</v>
      </c>
      <c r="G42" s="7">
        <f t="shared" ca="1" si="12"/>
        <v>32</v>
      </c>
      <c r="H42" s="7">
        <f t="shared" ca="1" si="12"/>
        <v>800</v>
      </c>
      <c r="I42" s="7">
        <f t="shared" ca="1" si="12"/>
        <v>128</v>
      </c>
      <c r="J42" s="7">
        <f t="shared" ca="1" si="12"/>
        <v>896</v>
      </c>
      <c r="K42">
        <f t="shared" ca="1" si="1"/>
        <v>68</v>
      </c>
      <c r="M42" cm="1">
        <f t="array" aca="1" ref="M42" ca="1">CalGain(A42)</f>
        <v>224</v>
      </c>
      <c r="N42" cm="1">
        <f t="array" aca="1" ref="N42" ca="1">CalGain(B42)</f>
        <v>896</v>
      </c>
      <c r="O42" cm="1">
        <f t="array" aca="1" ref="O42" ca="1">CalGain(C42)</f>
        <v>448</v>
      </c>
      <c r="P42" cm="1">
        <f t="array" aca="1" ref="P42" ca="1">CalGain(D42)</f>
        <v>864</v>
      </c>
      <c r="Q42" cm="1">
        <f t="array" aca="1" ref="Q42" ca="1">CalGain(E42)</f>
        <v>736</v>
      </c>
      <c r="R42" cm="1">
        <f t="array" aca="1" ref="R42" ca="1">CalGain(F42)</f>
        <v>960</v>
      </c>
      <c r="S42" cm="1">
        <f t="array" aca="1" ref="S42" ca="1">CalGain(G42)</f>
        <v>32</v>
      </c>
      <c r="T42" cm="1">
        <f t="array" aca="1" ref="T42" ca="1">CalGain(H42)</f>
        <v>800</v>
      </c>
      <c r="U42" cm="1">
        <f t="array" aca="1" ref="U42" ca="1">CalGain(I42)</f>
        <v>128</v>
      </c>
      <c r="V42" cm="1">
        <f t="array" aca="1" ref="V42" ca="1">CalGain(J42)</f>
        <v>896</v>
      </c>
      <c r="W42" s="1">
        <v>8388607</v>
      </c>
      <c r="X42" s="1">
        <v>8388607</v>
      </c>
      <c r="Y42" s="1">
        <v>8388607</v>
      </c>
    </row>
    <row r="43" spans="1:25" x14ac:dyDescent="0.25">
      <c r="A43" s="5">
        <f t="shared" ref="A43:J43" ca="1" si="20">RANDBETWEEN(0, 31)</f>
        <v>23</v>
      </c>
      <c r="B43" s="5">
        <f t="shared" ca="1" si="20"/>
        <v>9</v>
      </c>
      <c r="C43" s="5">
        <f t="shared" ca="1" si="20"/>
        <v>16</v>
      </c>
      <c r="D43" s="5">
        <f t="shared" ca="1" si="20"/>
        <v>2</v>
      </c>
      <c r="E43" s="5">
        <f t="shared" ca="1" si="20"/>
        <v>18</v>
      </c>
      <c r="F43" s="5">
        <f t="shared" ca="1" si="20"/>
        <v>15</v>
      </c>
      <c r="G43" s="5">
        <f t="shared" ca="1" si="20"/>
        <v>3</v>
      </c>
      <c r="H43" s="5">
        <f t="shared" ca="1" si="20"/>
        <v>29</v>
      </c>
      <c r="I43" s="5">
        <f t="shared" ca="1" si="20"/>
        <v>7</v>
      </c>
      <c r="J43" s="5">
        <f t="shared" ca="1" si="20"/>
        <v>7</v>
      </c>
      <c r="K43">
        <f t="shared" ca="1" si="1"/>
        <v>35</v>
      </c>
      <c r="M43" cm="1">
        <f t="array" aca="1" ref="M43" ca="1">CalLoss(A43)</f>
        <v>928</v>
      </c>
      <c r="N43" cm="1">
        <f t="array" aca="1" ref="N43" ca="1">CalLoss(B43)</f>
        <v>576</v>
      </c>
      <c r="O43" cm="1">
        <f t="array" aca="1" ref="O43" ca="1">CalLoss(C43)</f>
        <v>32</v>
      </c>
      <c r="P43" cm="1">
        <f t="array" aca="1" ref="P43" ca="1">CalLoss(D43)</f>
        <v>256</v>
      </c>
      <c r="Q43" cm="1">
        <f t="array" aca="1" ref="Q43" ca="1">CalLoss(E43)</f>
        <v>288</v>
      </c>
      <c r="R43" cm="1">
        <f t="array" aca="1" ref="R43" ca="1">CalLoss(F43)</f>
        <v>960</v>
      </c>
      <c r="S43" cm="1">
        <f t="array" aca="1" ref="S43" ca="1">CalLoss(G43)</f>
        <v>768</v>
      </c>
      <c r="T43" cm="1">
        <f t="array" aca="1" ref="T43" ca="1">CalLoss(H43)</f>
        <v>736</v>
      </c>
      <c r="U43" cm="1">
        <f t="array" aca="1" ref="U43" ca="1">CalLoss(I43)</f>
        <v>896</v>
      </c>
      <c r="V43" cm="1">
        <f t="array" aca="1" ref="V43" ca="1">CalLoss(J43)</f>
        <v>896</v>
      </c>
      <c r="W43">
        <v>170</v>
      </c>
      <c r="X43">
        <v>37</v>
      </c>
      <c r="Y43">
        <v>37</v>
      </c>
    </row>
    <row r="44" spans="1:25" s="1" customFormat="1" x14ac:dyDescent="0.25">
      <c r="A44" s="7">
        <f ca="1">_xlfn.BITLSHIFT(RANDBETWEEN(20,31),5)</f>
        <v>832</v>
      </c>
      <c r="B44" s="7">
        <f t="shared" ref="B44:J44" ca="1" si="21">_xlfn.BITLSHIFT(RANDBETWEEN(20,31),5)</f>
        <v>672</v>
      </c>
      <c r="C44" s="7">
        <f t="shared" ca="1" si="21"/>
        <v>864</v>
      </c>
      <c r="D44" s="7">
        <f t="shared" ca="1" si="21"/>
        <v>864</v>
      </c>
      <c r="E44" s="7">
        <f t="shared" ca="1" si="21"/>
        <v>640</v>
      </c>
      <c r="F44" s="7">
        <f t="shared" ca="1" si="21"/>
        <v>928</v>
      </c>
      <c r="G44" s="7">
        <f t="shared" ca="1" si="21"/>
        <v>736</v>
      </c>
      <c r="H44" s="7">
        <f t="shared" ca="1" si="21"/>
        <v>864</v>
      </c>
      <c r="I44" s="7">
        <f t="shared" ca="1" si="21"/>
        <v>800</v>
      </c>
      <c r="J44" s="7">
        <f t="shared" ca="1" si="21"/>
        <v>928</v>
      </c>
      <c r="K44">
        <f t="shared" ca="1" si="1"/>
        <v>117</v>
      </c>
      <c r="M44" cm="1">
        <f t="array" aca="1" ref="M44" ca="1">CalGain(A44)</f>
        <v>832</v>
      </c>
      <c r="N44" cm="1">
        <f t="array" aca="1" ref="N44" ca="1">CalGain(B44)</f>
        <v>672</v>
      </c>
      <c r="O44" cm="1">
        <f t="array" aca="1" ref="O44" ca="1">CalGain(C44)</f>
        <v>864</v>
      </c>
      <c r="P44" cm="1">
        <f t="array" aca="1" ref="P44" ca="1">CalGain(D44)</f>
        <v>864</v>
      </c>
      <c r="Q44" cm="1">
        <f t="array" aca="1" ref="Q44" ca="1">CalGain(E44)</f>
        <v>640</v>
      </c>
      <c r="R44" cm="1">
        <f t="array" aca="1" ref="R44" ca="1">CalGain(F44)</f>
        <v>928</v>
      </c>
      <c r="S44" cm="1">
        <f t="array" aca="1" ref="S44" ca="1">CalGain(G44)</f>
        <v>736</v>
      </c>
      <c r="T44" cm="1">
        <f t="array" aca="1" ref="T44" ca="1">CalGain(H44)</f>
        <v>864</v>
      </c>
      <c r="U44" cm="1">
        <f t="array" aca="1" ref="U44" ca="1">CalGain(I44)</f>
        <v>800</v>
      </c>
      <c r="V44" cm="1">
        <f t="array" aca="1" ref="V44" ca="1">CalGain(J44)</f>
        <v>928</v>
      </c>
      <c r="W44" s="1">
        <v>8388607</v>
      </c>
      <c r="X44" s="1">
        <v>8388607</v>
      </c>
      <c r="Y44" s="1">
        <v>8388607</v>
      </c>
    </row>
    <row r="45" spans="1:25" x14ac:dyDescent="0.25">
      <c r="A45" s="5">
        <f t="shared" ref="A45:J45" ca="1" si="22">RANDBETWEEN(0, 31)</f>
        <v>6</v>
      </c>
      <c r="B45" s="5">
        <f t="shared" ca="1" si="22"/>
        <v>8</v>
      </c>
      <c r="C45" s="5">
        <f t="shared" ca="1" si="22"/>
        <v>6</v>
      </c>
      <c r="D45" s="5">
        <f t="shared" ca="1" si="22"/>
        <v>15</v>
      </c>
      <c r="E45" s="5">
        <f t="shared" ca="1" si="22"/>
        <v>23</v>
      </c>
      <c r="F45" s="5">
        <f t="shared" ca="1" si="22"/>
        <v>24</v>
      </c>
      <c r="G45" s="5">
        <f t="shared" ca="1" si="22"/>
        <v>30</v>
      </c>
      <c r="H45" s="5">
        <f t="shared" ca="1" si="22"/>
        <v>19</v>
      </c>
      <c r="I45" s="5">
        <f t="shared" ca="1" si="22"/>
        <v>14</v>
      </c>
      <c r="J45" s="5">
        <f t="shared" ca="1" si="22"/>
        <v>1</v>
      </c>
      <c r="K45">
        <f t="shared" ca="1" si="1"/>
        <v>-1</v>
      </c>
      <c r="M45" cm="1">
        <f t="array" aca="1" ref="M45" ca="1">CalLoss(A45)</f>
        <v>384</v>
      </c>
      <c r="N45" cm="1">
        <f t="array" aca="1" ref="N45" ca="1">CalLoss(B45)</f>
        <v>64</v>
      </c>
      <c r="O45" cm="1">
        <f t="array" aca="1" ref="O45" ca="1">CalLoss(C45)</f>
        <v>384</v>
      </c>
      <c r="P45" cm="1">
        <f t="array" aca="1" ref="P45" ca="1">CalLoss(D45)</f>
        <v>960</v>
      </c>
      <c r="Q45" cm="1">
        <f t="array" aca="1" ref="Q45" ca="1">CalLoss(E45)</f>
        <v>928</v>
      </c>
      <c r="R45" cm="1">
        <f t="array" aca="1" ref="R45" ca="1">CalLoss(F45)</f>
        <v>96</v>
      </c>
      <c r="S45" cm="1">
        <f t="array" aca="1" ref="S45" ca="1">CalLoss(G45)</f>
        <v>480</v>
      </c>
      <c r="T45" cm="1">
        <f t="array" aca="1" ref="T45" ca="1">CalLoss(H45)</f>
        <v>800</v>
      </c>
      <c r="U45" cm="1">
        <f t="array" aca="1" ref="U45" ca="1">CalLoss(I45)</f>
        <v>448</v>
      </c>
      <c r="V45" cm="1">
        <f t="array" aca="1" ref="V45" ca="1">CalLoss(J45)</f>
        <v>512</v>
      </c>
      <c r="W45">
        <v>1023</v>
      </c>
      <c r="X45">
        <v>42</v>
      </c>
      <c r="Y45">
        <v>42</v>
      </c>
    </row>
    <row r="46" spans="1:25" s="3" customFormat="1" x14ac:dyDescent="0.25"/>
    <row r="47" spans="1:25" s="3" customFormat="1" x14ac:dyDescent="0.25"/>
    <row r="48" spans="1:25" s="3" customFormat="1" x14ac:dyDescent="0.25"/>
    <row r="49" s="3" customFormat="1" x14ac:dyDescent="0.25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71623E-1B5C-4455-99EC-E01644B9236D}">
  <sheetPr codeName="Sheet3"/>
  <dimension ref="A1:Y45"/>
  <sheetViews>
    <sheetView topLeftCell="D1" workbookViewId="0">
      <selection activeCell="M9" sqref="M9:V9"/>
    </sheetView>
  </sheetViews>
  <sheetFormatPr defaultRowHeight="15" x14ac:dyDescent="0.25"/>
  <cols>
    <col min="25" max="25" width="11.7109375" bestFit="1" customWidth="1"/>
  </cols>
  <sheetData>
    <row r="1" spans="1:25" x14ac:dyDescent="0.25">
      <c r="A1" t="s">
        <v>26</v>
      </c>
      <c r="B1" t="s">
        <v>25</v>
      </c>
      <c r="C1" t="s">
        <v>27</v>
      </c>
      <c r="D1" t="s">
        <v>24</v>
      </c>
      <c r="E1" t="s">
        <v>23</v>
      </c>
      <c r="F1" t="s">
        <v>22</v>
      </c>
      <c r="G1" t="s">
        <v>21</v>
      </c>
      <c r="H1" t="s">
        <v>20</v>
      </c>
      <c r="I1" t="s">
        <v>19</v>
      </c>
      <c r="J1" t="s">
        <v>18</v>
      </c>
      <c r="K1" t="s">
        <v>17</v>
      </c>
      <c r="M1" t="s">
        <v>26</v>
      </c>
      <c r="N1" t="s">
        <v>25</v>
      </c>
      <c r="O1" t="s">
        <v>27</v>
      </c>
      <c r="P1" t="s">
        <v>24</v>
      </c>
      <c r="Q1" t="s">
        <v>23</v>
      </c>
      <c r="R1" t="s">
        <v>22</v>
      </c>
      <c r="S1" t="s">
        <v>21</v>
      </c>
      <c r="T1" t="s">
        <v>20</v>
      </c>
      <c r="U1" t="s">
        <v>19</v>
      </c>
      <c r="V1" t="s">
        <v>18</v>
      </c>
      <c r="W1" t="s">
        <v>15</v>
      </c>
      <c r="X1" t="s">
        <v>16</v>
      </c>
      <c r="Y1" t="s">
        <v>28</v>
      </c>
    </row>
    <row r="2" spans="1:25" x14ac:dyDescent="0.25">
      <c r="A2">
        <v>1</v>
      </c>
      <c r="B2">
        <f>A2+1</f>
        <v>2</v>
      </c>
      <c r="C2">
        <f t="shared" ref="C2:V2" si="0">B2+1</f>
        <v>3</v>
      </c>
      <c r="D2">
        <f t="shared" si="0"/>
        <v>4</v>
      </c>
      <c r="E2">
        <f t="shared" si="0"/>
        <v>5</v>
      </c>
      <c r="F2">
        <f t="shared" si="0"/>
        <v>6</v>
      </c>
      <c r="G2">
        <f t="shared" si="0"/>
        <v>7</v>
      </c>
      <c r="H2">
        <f t="shared" si="0"/>
        <v>8</v>
      </c>
      <c r="I2">
        <f t="shared" si="0"/>
        <v>9</v>
      </c>
      <c r="J2">
        <f t="shared" si="0"/>
        <v>10</v>
      </c>
      <c r="K2">
        <f t="shared" si="0"/>
        <v>11</v>
      </c>
      <c r="L2">
        <f t="shared" si="0"/>
        <v>12</v>
      </c>
      <c r="M2">
        <f t="shared" si="0"/>
        <v>13</v>
      </c>
      <c r="N2">
        <f t="shared" si="0"/>
        <v>14</v>
      </c>
      <c r="O2">
        <f t="shared" si="0"/>
        <v>15</v>
      </c>
      <c r="P2">
        <f t="shared" si="0"/>
        <v>16</v>
      </c>
      <c r="Q2">
        <f t="shared" si="0"/>
        <v>17</v>
      </c>
      <c r="R2">
        <f t="shared" si="0"/>
        <v>18</v>
      </c>
      <c r="S2">
        <f>R2+1</f>
        <v>19</v>
      </c>
      <c r="T2">
        <f t="shared" si="0"/>
        <v>20</v>
      </c>
      <c r="U2">
        <f t="shared" si="0"/>
        <v>21</v>
      </c>
      <c r="V2">
        <f t="shared" si="0"/>
        <v>22</v>
      </c>
    </row>
    <row r="6" spans="1:25" x14ac:dyDescent="0.25">
      <c r="A6">
        <v>16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-35</v>
      </c>
      <c r="M6">
        <v>32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-2</v>
      </c>
      <c r="X6">
        <v>-35</v>
      </c>
      <c r="Y6">
        <v>-2</v>
      </c>
    </row>
    <row r="7" spans="1:25" x14ac:dyDescent="0.25">
      <c r="A7">
        <v>32</v>
      </c>
      <c r="B7">
        <v>32</v>
      </c>
      <c r="C7">
        <v>0</v>
      </c>
      <c r="D7">
        <v>32</v>
      </c>
      <c r="E7">
        <v>32</v>
      </c>
      <c r="F7">
        <v>0</v>
      </c>
      <c r="G7">
        <v>32</v>
      </c>
      <c r="H7">
        <v>32</v>
      </c>
      <c r="I7">
        <v>32</v>
      </c>
      <c r="J7">
        <v>32</v>
      </c>
      <c r="K7">
        <v>90</v>
      </c>
      <c r="M7">
        <v>32</v>
      </c>
      <c r="N7">
        <v>32</v>
      </c>
      <c r="O7">
        <v>0</v>
      </c>
      <c r="P7">
        <v>32</v>
      </c>
      <c r="Q7">
        <v>32</v>
      </c>
      <c r="R7">
        <v>0</v>
      </c>
      <c r="S7">
        <v>32</v>
      </c>
      <c r="T7">
        <v>32</v>
      </c>
      <c r="U7">
        <v>32</v>
      </c>
      <c r="V7">
        <v>32</v>
      </c>
      <c r="W7">
        <v>92096</v>
      </c>
      <c r="X7">
        <v>1760</v>
      </c>
      <c r="Y7">
        <v>1760</v>
      </c>
    </row>
    <row r="8" spans="1:25" x14ac:dyDescent="0.25">
      <c r="A8">
        <v>31</v>
      </c>
      <c r="B8">
        <v>31</v>
      </c>
      <c r="C8">
        <v>31</v>
      </c>
      <c r="D8">
        <v>23</v>
      </c>
      <c r="E8">
        <v>25</v>
      </c>
      <c r="F8">
        <v>27</v>
      </c>
      <c r="G8">
        <v>23</v>
      </c>
      <c r="H8">
        <v>27</v>
      </c>
      <c r="I8">
        <v>22</v>
      </c>
      <c r="J8">
        <v>30</v>
      </c>
      <c r="K8">
        <v>-34</v>
      </c>
      <c r="M8">
        <v>992</v>
      </c>
      <c r="N8">
        <v>992</v>
      </c>
      <c r="O8">
        <v>992</v>
      </c>
      <c r="P8">
        <v>928</v>
      </c>
      <c r="Q8">
        <v>608</v>
      </c>
      <c r="R8">
        <v>864</v>
      </c>
      <c r="S8">
        <v>928</v>
      </c>
      <c r="T8">
        <v>864</v>
      </c>
      <c r="U8">
        <v>416</v>
      </c>
      <c r="V8">
        <v>480</v>
      </c>
      <c r="W8">
        <v>78</v>
      </c>
      <c r="X8">
        <v>3</v>
      </c>
      <c r="Y8">
        <v>78</v>
      </c>
    </row>
    <row r="9" spans="1:25" x14ac:dyDescent="0.25">
      <c r="A9">
        <v>96</v>
      </c>
      <c r="B9">
        <v>960</v>
      </c>
      <c r="C9">
        <v>768</v>
      </c>
      <c r="D9">
        <v>832</v>
      </c>
      <c r="E9">
        <v>160</v>
      </c>
      <c r="F9">
        <v>32</v>
      </c>
      <c r="G9">
        <v>64</v>
      </c>
      <c r="H9">
        <v>320</v>
      </c>
      <c r="I9">
        <v>480</v>
      </c>
      <c r="J9">
        <v>832</v>
      </c>
      <c r="K9">
        <v>-12</v>
      </c>
      <c r="M9">
        <v>96</v>
      </c>
      <c r="N9">
        <v>960</v>
      </c>
      <c r="O9">
        <v>768</v>
      </c>
      <c r="P9">
        <v>832</v>
      </c>
      <c r="Q9">
        <v>160</v>
      </c>
      <c r="R9">
        <v>32</v>
      </c>
      <c r="S9">
        <v>64</v>
      </c>
      <c r="T9">
        <v>320</v>
      </c>
      <c r="U9">
        <v>480</v>
      </c>
      <c r="V9">
        <v>832</v>
      </c>
      <c r="W9">
        <v>8388607</v>
      </c>
      <c r="X9">
        <v>-1757184</v>
      </c>
      <c r="Y9">
        <v>-1757184</v>
      </c>
    </row>
    <row r="10" spans="1:25" x14ac:dyDescent="0.25">
      <c r="A10">
        <v>22</v>
      </c>
      <c r="B10">
        <v>29</v>
      </c>
      <c r="C10">
        <v>27</v>
      </c>
      <c r="D10">
        <v>11</v>
      </c>
      <c r="E10">
        <v>3</v>
      </c>
      <c r="F10">
        <v>31</v>
      </c>
      <c r="G10">
        <v>14</v>
      </c>
      <c r="H10">
        <v>29</v>
      </c>
      <c r="I10">
        <v>2</v>
      </c>
      <c r="J10">
        <v>12</v>
      </c>
      <c r="K10">
        <v>108</v>
      </c>
      <c r="M10">
        <v>416</v>
      </c>
      <c r="N10">
        <v>736</v>
      </c>
      <c r="O10">
        <v>864</v>
      </c>
      <c r="P10">
        <v>832</v>
      </c>
      <c r="Q10">
        <v>768</v>
      </c>
      <c r="R10">
        <v>992</v>
      </c>
      <c r="S10">
        <v>448</v>
      </c>
      <c r="T10">
        <v>736</v>
      </c>
      <c r="U10">
        <v>256</v>
      </c>
      <c r="V10">
        <v>192</v>
      </c>
      <c r="W10">
        <v>127</v>
      </c>
      <c r="X10">
        <v>-171</v>
      </c>
      <c r="Y10">
        <v>127</v>
      </c>
    </row>
    <row r="11" spans="1:25" x14ac:dyDescent="0.25">
      <c r="A11">
        <v>288</v>
      </c>
      <c r="B11">
        <v>128</v>
      </c>
      <c r="C11">
        <v>992</v>
      </c>
      <c r="D11">
        <v>32</v>
      </c>
      <c r="E11">
        <v>896</v>
      </c>
      <c r="F11">
        <v>864</v>
      </c>
      <c r="G11">
        <v>448</v>
      </c>
      <c r="H11">
        <v>160</v>
      </c>
      <c r="I11">
        <v>544</v>
      </c>
      <c r="J11">
        <v>896</v>
      </c>
      <c r="K11">
        <v>-183</v>
      </c>
      <c r="M11">
        <v>288</v>
      </c>
      <c r="N11">
        <v>128</v>
      </c>
      <c r="O11">
        <v>992</v>
      </c>
      <c r="P11">
        <v>32</v>
      </c>
      <c r="Q11">
        <v>896</v>
      </c>
      <c r="R11">
        <v>864</v>
      </c>
      <c r="S11">
        <v>448</v>
      </c>
      <c r="T11">
        <v>160</v>
      </c>
      <c r="U11">
        <v>544</v>
      </c>
      <c r="V11">
        <v>896</v>
      </c>
      <c r="W11">
        <v>8388607</v>
      </c>
      <c r="X11">
        <v>-8388608</v>
      </c>
      <c r="Y11">
        <v>-8388608</v>
      </c>
    </row>
    <row r="12" spans="1:25" x14ac:dyDescent="0.25">
      <c r="A12">
        <v>2</v>
      </c>
      <c r="B12">
        <v>3</v>
      </c>
      <c r="C12">
        <v>30</v>
      </c>
      <c r="D12">
        <v>1</v>
      </c>
      <c r="E12">
        <v>31</v>
      </c>
      <c r="F12">
        <v>11</v>
      </c>
      <c r="G12">
        <v>25</v>
      </c>
      <c r="H12">
        <v>1</v>
      </c>
      <c r="I12">
        <v>21</v>
      </c>
      <c r="J12">
        <v>22</v>
      </c>
      <c r="K12">
        <v>-127</v>
      </c>
      <c r="M12">
        <v>256</v>
      </c>
      <c r="N12">
        <v>768</v>
      </c>
      <c r="O12">
        <v>480</v>
      </c>
      <c r="P12">
        <v>512</v>
      </c>
      <c r="Q12">
        <v>992</v>
      </c>
      <c r="R12">
        <v>832</v>
      </c>
      <c r="S12">
        <v>608</v>
      </c>
      <c r="T12">
        <v>512</v>
      </c>
      <c r="U12">
        <v>672</v>
      </c>
      <c r="V12">
        <v>416</v>
      </c>
      <c r="W12">
        <v>48</v>
      </c>
      <c r="X12">
        <v>-79</v>
      </c>
      <c r="Y12">
        <v>48</v>
      </c>
    </row>
    <row r="13" spans="1:25" x14ac:dyDescent="0.25">
      <c r="A13">
        <v>64</v>
      </c>
      <c r="B13">
        <v>672</v>
      </c>
      <c r="C13">
        <v>512</v>
      </c>
      <c r="D13">
        <v>864</v>
      </c>
      <c r="E13">
        <v>864</v>
      </c>
      <c r="F13">
        <v>192</v>
      </c>
      <c r="G13">
        <v>736</v>
      </c>
      <c r="H13">
        <v>896</v>
      </c>
      <c r="I13">
        <v>384</v>
      </c>
      <c r="J13">
        <v>32</v>
      </c>
      <c r="K13">
        <v>46</v>
      </c>
      <c r="M13">
        <v>64</v>
      </c>
      <c r="N13">
        <v>672</v>
      </c>
      <c r="O13">
        <v>512</v>
      </c>
      <c r="P13">
        <v>864</v>
      </c>
      <c r="Q13">
        <v>864</v>
      </c>
      <c r="R13">
        <v>192</v>
      </c>
      <c r="S13">
        <v>736</v>
      </c>
      <c r="T13">
        <v>896</v>
      </c>
      <c r="U13">
        <v>384</v>
      </c>
      <c r="V13">
        <v>32</v>
      </c>
      <c r="W13">
        <v>8388607</v>
      </c>
      <c r="X13">
        <v>-1048576</v>
      </c>
      <c r="Y13">
        <v>-1048576</v>
      </c>
    </row>
    <row r="14" spans="1:25" x14ac:dyDescent="0.25">
      <c r="A14">
        <v>17</v>
      </c>
      <c r="B14">
        <v>17</v>
      </c>
      <c r="C14">
        <v>3</v>
      </c>
      <c r="D14">
        <v>24</v>
      </c>
      <c r="E14">
        <v>1</v>
      </c>
      <c r="F14">
        <v>23</v>
      </c>
      <c r="G14">
        <v>19</v>
      </c>
      <c r="H14">
        <v>2</v>
      </c>
      <c r="I14">
        <v>12</v>
      </c>
      <c r="J14">
        <v>27</v>
      </c>
      <c r="K14">
        <v>-6122</v>
      </c>
      <c r="M14">
        <v>544</v>
      </c>
      <c r="N14">
        <v>544</v>
      </c>
      <c r="O14">
        <v>768</v>
      </c>
      <c r="P14">
        <v>96</v>
      </c>
      <c r="Q14">
        <v>512</v>
      </c>
      <c r="R14">
        <v>928</v>
      </c>
      <c r="S14">
        <v>800</v>
      </c>
      <c r="T14">
        <v>256</v>
      </c>
      <c r="U14">
        <v>192</v>
      </c>
      <c r="V14">
        <v>864</v>
      </c>
      <c r="W14">
        <v>170</v>
      </c>
      <c r="X14">
        <v>-38</v>
      </c>
      <c r="Y14">
        <v>170</v>
      </c>
    </row>
    <row r="15" spans="1:25" x14ac:dyDescent="0.25">
      <c r="A15">
        <v>32</v>
      </c>
      <c r="B15">
        <v>32</v>
      </c>
      <c r="C15">
        <v>0</v>
      </c>
      <c r="D15">
        <v>32</v>
      </c>
      <c r="E15">
        <v>0</v>
      </c>
      <c r="F15">
        <v>32</v>
      </c>
      <c r="G15">
        <v>32</v>
      </c>
      <c r="H15">
        <v>0</v>
      </c>
      <c r="I15">
        <v>64</v>
      </c>
      <c r="J15">
        <v>0</v>
      </c>
      <c r="K15">
        <v>77</v>
      </c>
      <c r="M15">
        <v>32</v>
      </c>
      <c r="N15">
        <v>32</v>
      </c>
      <c r="O15">
        <v>0</v>
      </c>
      <c r="P15">
        <v>32</v>
      </c>
      <c r="Q15">
        <v>0</v>
      </c>
      <c r="R15">
        <v>32</v>
      </c>
      <c r="S15">
        <v>32</v>
      </c>
      <c r="T15">
        <v>0</v>
      </c>
      <c r="U15">
        <v>64</v>
      </c>
      <c r="V15">
        <v>0</v>
      </c>
      <c r="W15">
        <v>2097088</v>
      </c>
      <c r="X15">
        <v>-32768</v>
      </c>
      <c r="Y15">
        <v>-32768</v>
      </c>
    </row>
    <row r="16" spans="1:25" x14ac:dyDescent="0.25">
      <c r="A16">
        <v>16</v>
      </c>
      <c r="B16">
        <v>12</v>
      </c>
      <c r="C16">
        <v>20</v>
      </c>
      <c r="D16">
        <v>10</v>
      </c>
      <c r="E16">
        <v>4</v>
      </c>
      <c r="F16">
        <v>10</v>
      </c>
      <c r="G16">
        <v>19</v>
      </c>
      <c r="H16">
        <v>2</v>
      </c>
      <c r="I16">
        <v>0</v>
      </c>
      <c r="J16">
        <v>11</v>
      </c>
      <c r="K16">
        <v>-115</v>
      </c>
      <c r="M16">
        <v>32</v>
      </c>
      <c r="N16">
        <v>192</v>
      </c>
      <c r="O16">
        <v>160</v>
      </c>
      <c r="P16">
        <v>320</v>
      </c>
      <c r="Q16">
        <v>128</v>
      </c>
      <c r="R16">
        <v>320</v>
      </c>
      <c r="S16">
        <v>800</v>
      </c>
      <c r="T16">
        <v>256</v>
      </c>
      <c r="U16">
        <v>0</v>
      </c>
      <c r="V16">
        <v>832</v>
      </c>
      <c r="W16">
        <v>32767</v>
      </c>
      <c r="X16">
        <v>-40</v>
      </c>
      <c r="Y16">
        <v>32767</v>
      </c>
    </row>
    <row r="17" spans="1:25" x14ac:dyDescent="0.25">
      <c r="A17">
        <v>32</v>
      </c>
      <c r="B17">
        <v>224</v>
      </c>
      <c r="C17">
        <v>96</v>
      </c>
      <c r="D17">
        <v>192</v>
      </c>
      <c r="E17">
        <v>64</v>
      </c>
      <c r="F17">
        <v>224</v>
      </c>
      <c r="G17">
        <v>128</v>
      </c>
      <c r="H17">
        <v>224</v>
      </c>
      <c r="I17">
        <v>32</v>
      </c>
      <c r="J17">
        <v>224</v>
      </c>
      <c r="K17">
        <v>-497</v>
      </c>
      <c r="M17">
        <v>32</v>
      </c>
      <c r="N17">
        <v>224</v>
      </c>
      <c r="O17">
        <v>96</v>
      </c>
      <c r="P17">
        <v>192</v>
      </c>
      <c r="Q17">
        <v>64</v>
      </c>
      <c r="R17">
        <v>224</v>
      </c>
      <c r="S17">
        <v>128</v>
      </c>
      <c r="T17">
        <v>224</v>
      </c>
      <c r="U17">
        <v>32</v>
      </c>
      <c r="V17">
        <v>224</v>
      </c>
      <c r="W17">
        <v>1048544</v>
      </c>
      <c r="X17">
        <v>-7340032</v>
      </c>
      <c r="Y17">
        <v>-7340032</v>
      </c>
    </row>
    <row r="18" spans="1:25" x14ac:dyDescent="0.25">
      <c r="A18">
        <v>24</v>
      </c>
      <c r="B18">
        <v>22</v>
      </c>
      <c r="C18">
        <v>25</v>
      </c>
      <c r="D18">
        <v>3</v>
      </c>
      <c r="E18">
        <v>20</v>
      </c>
      <c r="F18">
        <v>27</v>
      </c>
      <c r="G18">
        <v>17</v>
      </c>
      <c r="H18">
        <v>4</v>
      </c>
      <c r="I18">
        <v>14</v>
      </c>
      <c r="J18">
        <v>8</v>
      </c>
      <c r="K18">
        <v>44</v>
      </c>
      <c r="M18">
        <v>96</v>
      </c>
      <c r="N18">
        <v>416</v>
      </c>
      <c r="O18">
        <v>608</v>
      </c>
      <c r="P18">
        <v>768</v>
      </c>
      <c r="Q18">
        <v>160</v>
      </c>
      <c r="R18">
        <v>864</v>
      </c>
      <c r="S18">
        <v>544</v>
      </c>
      <c r="T18">
        <v>128</v>
      </c>
      <c r="U18">
        <v>448</v>
      </c>
      <c r="V18">
        <v>64</v>
      </c>
      <c r="W18">
        <v>73</v>
      </c>
      <c r="X18">
        <v>-512</v>
      </c>
      <c r="Y18">
        <v>73</v>
      </c>
    </row>
    <row r="19" spans="1:25" x14ac:dyDescent="0.25">
      <c r="A19">
        <v>96</v>
      </c>
      <c r="B19">
        <v>32</v>
      </c>
      <c r="C19">
        <v>64</v>
      </c>
      <c r="D19">
        <v>96</v>
      </c>
      <c r="E19">
        <v>64</v>
      </c>
      <c r="F19">
        <v>32</v>
      </c>
      <c r="G19">
        <v>32</v>
      </c>
      <c r="H19">
        <v>0</v>
      </c>
      <c r="I19">
        <v>64</v>
      </c>
      <c r="J19">
        <v>32</v>
      </c>
      <c r="K19">
        <v>-8770</v>
      </c>
      <c r="M19">
        <v>96</v>
      </c>
      <c r="N19">
        <v>32</v>
      </c>
      <c r="O19">
        <v>64</v>
      </c>
      <c r="P19">
        <v>96</v>
      </c>
      <c r="Q19">
        <v>64</v>
      </c>
      <c r="R19">
        <v>32</v>
      </c>
      <c r="S19">
        <v>32</v>
      </c>
      <c r="T19">
        <v>0</v>
      </c>
      <c r="U19">
        <v>64</v>
      </c>
      <c r="V19">
        <v>32</v>
      </c>
      <c r="W19">
        <v>2097088</v>
      </c>
      <c r="X19">
        <v>-1048576</v>
      </c>
      <c r="Y19">
        <v>-1048576</v>
      </c>
    </row>
    <row r="20" spans="1:25" x14ac:dyDescent="0.25">
      <c r="A20">
        <v>25</v>
      </c>
      <c r="B20">
        <v>1</v>
      </c>
      <c r="C20">
        <v>5</v>
      </c>
      <c r="D20">
        <v>23</v>
      </c>
      <c r="E20">
        <v>25</v>
      </c>
      <c r="F20">
        <v>25</v>
      </c>
      <c r="G20">
        <v>17</v>
      </c>
      <c r="H20">
        <v>27</v>
      </c>
      <c r="I20">
        <v>7</v>
      </c>
      <c r="J20">
        <v>5</v>
      </c>
      <c r="K20">
        <v>117</v>
      </c>
      <c r="M20">
        <v>608</v>
      </c>
      <c r="N20">
        <v>512</v>
      </c>
      <c r="O20">
        <v>640</v>
      </c>
      <c r="P20">
        <v>928</v>
      </c>
      <c r="Q20">
        <v>608</v>
      </c>
      <c r="R20">
        <v>608</v>
      </c>
      <c r="S20">
        <v>544</v>
      </c>
      <c r="T20">
        <v>864</v>
      </c>
      <c r="U20">
        <v>896</v>
      </c>
      <c r="V20">
        <v>640</v>
      </c>
      <c r="W20">
        <v>36</v>
      </c>
      <c r="X20">
        <v>-52</v>
      </c>
      <c r="Y20">
        <v>36</v>
      </c>
    </row>
    <row r="21" spans="1:25" x14ac:dyDescent="0.25">
      <c r="A21">
        <v>32</v>
      </c>
      <c r="B21">
        <v>0</v>
      </c>
      <c r="C21">
        <v>32</v>
      </c>
      <c r="D21">
        <v>0</v>
      </c>
      <c r="E21">
        <v>96</v>
      </c>
      <c r="F21">
        <v>96</v>
      </c>
      <c r="G21">
        <v>32</v>
      </c>
      <c r="H21">
        <v>32</v>
      </c>
      <c r="I21">
        <v>32</v>
      </c>
      <c r="J21">
        <v>64</v>
      </c>
      <c r="K21">
        <v>344</v>
      </c>
      <c r="M21">
        <v>32</v>
      </c>
      <c r="N21">
        <v>0</v>
      </c>
      <c r="O21">
        <v>32</v>
      </c>
      <c r="P21">
        <v>0</v>
      </c>
      <c r="Q21">
        <v>96</v>
      </c>
      <c r="R21">
        <v>96</v>
      </c>
      <c r="S21">
        <v>32</v>
      </c>
      <c r="T21">
        <v>32</v>
      </c>
      <c r="U21">
        <v>32</v>
      </c>
      <c r="V21">
        <v>64</v>
      </c>
      <c r="W21">
        <v>1048544</v>
      </c>
      <c r="X21">
        <v>-2097152</v>
      </c>
      <c r="Y21">
        <v>-2097152</v>
      </c>
    </row>
    <row r="22" spans="1:25" x14ac:dyDescent="0.25">
      <c r="A22">
        <v>11</v>
      </c>
      <c r="B22">
        <v>4</v>
      </c>
      <c r="C22">
        <v>7</v>
      </c>
      <c r="D22">
        <v>10</v>
      </c>
      <c r="E22">
        <v>15</v>
      </c>
      <c r="F22">
        <v>22</v>
      </c>
      <c r="G22">
        <v>5</v>
      </c>
      <c r="H22">
        <v>19</v>
      </c>
      <c r="I22">
        <v>31</v>
      </c>
      <c r="J22">
        <v>26</v>
      </c>
      <c r="K22">
        <v>22</v>
      </c>
      <c r="M22">
        <v>832</v>
      </c>
      <c r="N22">
        <v>128</v>
      </c>
      <c r="O22">
        <v>896</v>
      </c>
      <c r="P22">
        <v>320</v>
      </c>
      <c r="Q22">
        <v>960</v>
      </c>
      <c r="R22">
        <v>416</v>
      </c>
      <c r="S22">
        <v>640</v>
      </c>
      <c r="T22">
        <v>800</v>
      </c>
      <c r="U22">
        <v>992</v>
      </c>
      <c r="V22">
        <v>352</v>
      </c>
      <c r="W22">
        <v>33</v>
      </c>
      <c r="X22">
        <v>-94</v>
      </c>
      <c r="Y22">
        <v>33</v>
      </c>
    </row>
    <row r="23" spans="1:25" x14ac:dyDescent="0.25">
      <c r="A23">
        <v>96</v>
      </c>
      <c r="B23">
        <v>96</v>
      </c>
      <c r="C23">
        <v>96</v>
      </c>
      <c r="D23">
        <v>128</v>
      </c>
      <c r="E23">
        <v>96</v>
      </c>
      <c r="F23">
        <v>128</v>
      </c>
      <c r="G23">
        <v>96</v>
      </c>
      <c r="H23">
        <v>128</v>
      </c>
      <c r="I23">
        <v>96</v>
      </c>
      <c r="J23">
        <v>96</v>
      </c>
      <c r="K23">
        <v>498</v>
      </c>
      <c r="M23">
        <v>96</v>
      </c>
      <c r="N23">
        <v>96</v>
      </c>
      <c r="O23">
        <v>96</v>
      </c>
      <c r="P23">
        <v>128</v>
      </c>
      <c r="Q23">
        <v>96</v>
      </c>
      <c r="R23">
        <v>128</v>
      </c>
      <c r="S23">
        <v>96</v>
      </c>
      <c r="T23">
        <v>128</v>
      </c>
      <c r="U23">
        <v>96</v>
      </c>
      <c r="V23">
        <v>96</v>
      </c>
      <c r="W23">
        <v>3145632</v>
      </c>
      <c r="X23">
        <v>-3145728</v>
      </c>
      <c r="Y23">
        <v>-3145728</v>
      </c>
    </row>
    <row r="24" spans="1:25" x14ac:dyDescent="0.25">
      <c r="A24">
        <v>0</v>
      </c>
      <c r="B24">
        <v>27</v>
      </c>
      <c r="C24">
        <v>1</v>
      </c>
      <c r="D24">
        <v>16</v>
      </c>
      <c r="E24">
        <v>18</v>
      </c>
      <c r="F24">
        <v>2</v>
      </c>
      <c r="G24">
        <v>13</v>
      </c>
      <c r="H24">
        <v>27</v>
      </c>
      <c r="I24">
        <v>10</v>
      </c>
      <c r="J24">
        <v>6</v>
      </c>
      <c r="K24">
        <v>73</v>
      </c>
      <c r="M24">
        <v>0</v>
      </c>
      <c r="N24">
        <v>864</v>
      </c>
      <c r="O24">
        <v>512</v>
      </c>
      <c r="P24">
        <v>32</v>
      </c>
      <c r="Q24">
        <v>288</v>
      </c>
      <c r="R24">
        <v>256</v>
      </c>
      <c r="S24">
        <v>704</v>
      </c>
      <c r="T24">
        <v>864</v>
      </c>
      <c r="U24">
        <v>320</v>
      </c>
      <c r="V24">
        <v>384</v>
      </c>
      <c r="W24">
        <v>102</v>
      </c>
      <c r="X24">
        <v>-86</v>
      </c>
      <c r="Y24">
        <v>102</v>
      </c>
    </row>
    <row r="25" spans="1:25" x14ac:dyDescent="0.25">
      <c r="A25">
        <v>416</v>
      </c>
      <c r="B25">
        <v>480</v>
      </c>
      <c r="C25">
        <v>96</v>
      </c>
      <c r="D25">
        <v>512</v>
      </c>
      <c r="E25">
        <v>448</v>
      </c>
      <c r="F25">
        <v>480</v>
      </c>
      <c r="G25">
        <v>576</v>
      </c>
      <c r="H25">
        <v>768</v>
      </c>
      <c r="I25">
        <v>160</v>
      </c>
      <c r="J25">
        <v>832</v>
      </c>
      <c r="K25">
        <v>108</v>
      </c>
      <c r="M25">
        <v>416</v>
      </c>
      <c r="N25">
        <v>480</v>
      </c>
      <c r="O25">
        <v>96</v>
      </c>
      <c r="P25">
        <v>512</v>
      </c>
      <c r="Q25">
        <v>448</v>
      </c>
      <c r="R25">
        <v>480</v>
      </c>
      <c r="S25">
        <v>576</v>
      </c>
      <c r="T25">
        <v>768</v>
      </c>
      <c r="U25">
        <v>160</v>
      </c>
      <c r="V25">
        <v>832</v>
      </c>
      <c r="W25">
        <v>5242720</v>
      </c>
      <c r="X25">
        <v>-8388608</v>
      </c>
      <c r="Y25">
        <v>-8388608</v>
      </c>
    </row>
    <row r="26" spans="1:25" x14ac:dyDescent="0.25">
      <c r="A26">
        <v>704</v>
      </c>
      <c r="B26">
        <v>384</v>
      </c>
      <c r="C26">
        <v>288</v>
      </c>
      <c r="D26">
        <v>704</v>
      </c>
      <c r="E26">
        <v>224</v>
      </c>
      <c r="F26">
        <v>416</v>
      </c>
      <c r="G26">
        <v>224</v>
      </c>
      <c r="H26">
        <v>736</v>
      </c>
      <c r="I26">
        <v>480</v>
      </c>
      <c r="J26">
        <v>160</v>
      </c>
      <c r="K26">
        <v>-21</v>
      </c>
      <c r="M26">
        <v>704</v>
      </c>
      <c r="N26">
        <v>384</v>
      </c>
      <c r="O26">
        <v>288</v>
      </c>
      <c r="P26">
        <v>704</v>
      </c>
      <c r="Q26">
        <v>224</v>
      </c>
      <c r="R26">
        <v>416</v>
      </c>
      <c r="S26">
        <v>224</v>
      </c>
      <c r="T26">
        <v>736</v>
      </c>
      <c r="U26">
        <v>480</v>
      </c>
      <c r="V26">
        <v>160</v>
      </c>
      <c r="W26">
        <v>8388607</v>
      </c>
      <c r="X26">
        <v>-5242880</v>
      </c>
      <c r="Y26">
        <v>8388607</v>
      </c>
    </row>
    <row r="27" spans="1:25" x14ac:dyDescent="0.25">
      <c r="A27">
        <v>896</v>
      </c>
      <c r="B27">
        <v>96</v>
      </c>
      <c r="C27">
        <v>128</v>
      </c>
      <c r="D27">
        <v>352</v>
      </c>
      <c r="E27">
        <v>832</v>
      </c>
      <c r="F27">
        <v>992</v>
      </c>
      <c r="G27">
        <v>64</v>
      </c>
      <c r="H27">
        <v>928</v>
      </c>
      <c r="I27">
        <v>768</v>
      </c>
      <c r="J27">
        <v>992</v>
      </c>
      <c r="K27">
        <v>74</v>
      </c>
      <c r="M27">
        <v>896</v>
      </c>
      <c r="N27">
        <v>96</v>
      </c>
      <c r="O27">
        <v>128</v>
      </c>
      <c r="P27">
        <v>352</v>
      </c>
      <c r="Q27">
        <v>832</v>
      </c>
      <c r="R27">
        <v>992</v>
      </c>
      <c r="S27">
        <v>64</v>
      </c>
      <c r="T27">
        <v>928</v>
      </c>
      <c r="U27">
        <v>768</v>
      </c>
      <c r="V27">
        <v>992</v>
      </c>
      <c r="W27">
        <v>8388607</v>
      </c>
      <c r="X27">
        <v>-8388608</v>
      </c>
      <c r="Y27">
        <v>-8388608</v>
      </c>
    </row>
    <row r="28" spans="1:25" x14ac:dyDescent="0.25">
      <c r="A28">
        <v>416</v>
      </c>
      <c r="B28">
        <v>256</v>
      </c>
      <c r="C28">
        <v>640</v>
      </c>
      <c r="D28">
        <v>480</v>
      </c>
      <c r="E28">
        <v>832</v>
      </c>
      <c r="F28">
        <v>448</v>
      </c>
      <c r="G28">
        <v>352</v>
      </c>
      <c r="H28">
        <v>96</v>
      </c>
      <c r="I28">
        <v>832</v>
      </c>
      <c r="J28">
        <v>832</v>
      </c>
      <c r="K28">
        <v>-48</v>
      </c>
      <c r="M28">
        <v>416</v>
      </c>
      <c r="N28">
        <v>256</v>
      </c>
      <c r="O28">
        <v>640</v>
      </c>
      <c r="P28">
        <v>480</v>
      </c>
      <c r="Q28">
        <v>832</v>
      </c>
      <c r="R28">
        <v>448</v>
      </c>
      <c r="S28">
        <v>352</v>
      </c>
      <c r="T28">
        <v>96</v>
      </c>
      <c r="U28">
        <v>832</v>
      </c>
      <c r="V28">
        <v>832</v>
      </c>
      <c r="W28">
        <v>8388607</v>
      </c>
      <c r="X28">
        <v>-8388608</v>
      </c>
      <c r="Y28">
        <v>8388607</v>
      </c>
    </row>
    <row r="29" spans="1:25" x14ac:dyDescent="0.25">
      <c r="A29">
        <v>30</v>
      </c>
      <c r="B29">
        <v>29</v>
      </c>
      <c r="C29">
        <v>27</v>
      </c>
      <c r="D29">
        <v>19</v>
      </c>
      <c r="E29">
        <v>20</v>
      </c>
      <c r="F29">
        <v>8</v>
      </c>
      <c r="G29">
        <v>29</v>
      </c>
      <c r="H29">
        <v>9</v>
      </c>
      <c r="I29">
        <v>22</v>
      </c>
      <c r="J29">
        <v>27</v>
      </c>
      <c r="K29">
        <v>-12</v>
      </c>
      <c r="M29">
        <v>480</v>
      </c>
      <c r="N29">
        <v>736</v>
      </c>
      <c r="O29">
        <v>864</v>
      </c>
      <c r="P29">
        <v>800</v>
      </c>
      <c r="Q29">
        <v>160</v>
      </c>
      <c r="R29">
        <v>64</v>
      </c>
      <c r="S29">
        <v>736</v>
      </c>
      <c r="T29">
        <v>576</v>
      </c>
      <c r="U29">
        <v>416</v>
      </c>
      <c r="V29">
        <v>864</v>
      </c>
      <c r="W29">
        <v>78</v>
      </c>
      <c r="X29">
        <v>-38</v>
      </c>
      <c r="Y29">
        <v>-38</v>
      </c>
    </row>
    <row r="30" spans="1:25" x14ac:dyDescent="0.25">
      <c r="A30">
        <v>832</v>
      </c>
      <c r="B30">
        <v>544</v>
      </c>
      <c r="C30">
        <v>992</v>
      </c>
      <c r="D30">
        <v>736</v>
      </c>
      <c r="E30">
        <v>768</v>
      </c>
      <c r="F30">
        <v>576</v>
      </c>
      <c r="G30">
        <v>768</v>
      </c>
      <c r="H30">
        <v>128</v>
      </c>
      <c r="I30">
        <v>896</v>
      </c>
      <c r="J30">
        <v>192</v>
      </c>
      <c r="K30">
        <v>53</v>
      </c>
      <c r="M30">
        <v>832</v>
      </c>
      <c r="N30">
        <v>544</v>
      </c>
      <c r="O30">
        <v>992</v>
      </c>
      <c r="P30">
        <v>736</v>
      </c>
      <c r="Q30">
        <v>768</v>
      </c>
      <c r="R30">
        <v>576</v>
      </c>
      <c r="S30">
        <v>768</v>
      </c>
      <c r="T30">
        <v>128</v>
      </c>
      <c r="U30">
        <v>896</v>
      </c>
      <c r="V30">
        <v>192</v>
      </c>
      <c r="W30">
        <v>8388607</v>
      </c>
      <c r="X30">
        <v>-6291456</v>
      </c>
      <c r="Y30">
        <v>8388607</v>
      </c>
    </row>
    <row r="31" spans="1:25" x14ac:dyDescent="0.25">
      <c r="A31">
        <v>6</v>
      </c>
      <c r="B31">
        <v>29</v>
      </c>
      <c r="C31">
        <v>15</v>
      </c>
      <c r="D31">
        <v>25</v>
      </c>
      <c r="E31">
        <v>24</v>
      </c>
      <c r="F31">
        <v>14</v>
      </c>
      <c r="G31">
        <v>10</v>
      </c>
      <c r="H31">
        <v>5</v>
      </c>
      <c r="I31">
        <v>0</v>
      </c>
      <c r="J31">
        <v>19</v>
      </c>
      <c r="K31">
        <v>-3</v>
      </c>
      <c r="M31">
        <v>384</v>
      </c>
      <c r="N31">
        <v>736</v>
      </c>
      <c r="O31">
        <v>960</v>
      </c>
      <c r="P31">
        <v>608</v>
      </c>
      <c r="Q31">
        <v>96</v>
      </c>
      <c r="R31">
        <v>448</v>
      </c>
      <c r="S31">
        <v>320</v>
      </c>
      <c r="T31">
        <v>640</v>
      </c>
      <c r="U31">
        <v>0</v>
      </c>
      <c r="V31">
        <v>800</v>
      </c>
      <c r="W31">
        <v>32767</v>
      </c>
      <c r="X31">
        <v>-41</v>
      </c>
      <c r="Y31">
        <v>-41</v>
      </c>
    </row>
    <row r="32" spans="1:25" x14ac:dyDescent="0.25">
      <c r="A32">
        <v>608</v>
      </c>
      <c r="B32">
        <v>800</v>
      </c>
      <c r="C32">
        <v>576</v>
      </c>
      <c r="D32">
        <v>0</v>
      </c>
      <c r="E32">
        <v>480</v>
      </c>
      <c r="F32">
        <v>384</v>
      </c>
      <c r="G32">
        <v>192</v>
      </c>
      <c r="H32">
        <v>896</v>
      </c>
      <c r="I32">
        <v>384</v>
      </c>
      <c r="J32">
        <v>608</v>
      </c>
      <c r="K32">
        <v>-3</v>
      </c>
      <c r="M32">
        <v>608</v>
      </c>
      <c r="N32">
        <v>800</v>
      </c>
      <c r="O32">
        <v>576</v>
      </c>
      <c r="P32">
        <v>0</v>
      </c>
      <c r="Q32">
        <v>480</v>
      </c>
      <c r="R32">
        <v>384</v>
      </c>
      <c r="S32">
        <v>192</v>
      </c>
      <c r="T32">
        <v>896</v>
      </c>
      <c r="U32">
        <v>384</v>
      </c>
      <c r="V32">
        <v>608</v>
      </c>
      <c r="W32">
        <v>8388607</v>
      </c>
      <c r="X32">
        <v>-8388608</v>
      </c>
      <c r="Y32">
        <v>8388607</v>
      </c>
    </row>
    <row r="33" spans="1:25" x14ac:dyDescent="0.25">
      <c r="A33">
        <v>21</v>
      </c>
      <c r="B33">
        <v>15</v>
      </c>
      <c r="C33">
        <v>18</v>
      </c>
      <c r="D33">
        <v>15</v>
      </c>
      <c r="E33">
        <v>21</v>
      </c>
      <c r="F33">
        <v>29</v>
      </c>
      <c r="G33">
        <v>7</v>
      </c>
      <c r="H33">
        <v>15</v>
      </c>
      <c r="I33">
        <v>20</v>
      </c>
      <c r="J33">
        <v>3</v>
      </c>
      <c r="K33">
        <v>-17</v>
      </c>
      <c r="M33">
        <v>672</v>
      </c>
      <c r="N33">
        <v>960</v>
      </c>
      <c r="O33">
        <v>288</v>
      </c>
      <c r="P33">
        <v>960</v>
      </c>
      <c r="Q33">
        <v>672</v>
      </c>
      <c r="R33">
        <v>736</v>
      </c>
      <c r="S33">
        <v>896</v>
      </c>
      <c r="T33">
        <v>960</v>
      </c>
      <c r="U33">
        <v>160</v>
      </c>
      <c r="V33">
        <v>768</v>
      </c>
      <c r="W33">
        <v>204</v>
      </c>
      <c r="X33">
        <v>-43</v>
      </c>
      <c r="Y33">
        <v>-43</v>
      </c>
    </row>
    <row r="34" spans="1:25" x14ac:dyDescent="0.25">
      <c r="A34">
        <v>384</v>
      </c>
      <c r="B34">
        <v>0</v>
      </c>
      <c r="C34">
        <v>32</v>
      </c>
      <c r="D34">
        <v>64</v>
      </c>
      <c r="E34">
        <v>64</v>
      </c>
      <c r="F34">
        <v>384</v>
      </c>
      <c r="G34">
        <v>544</v>
      </c>
      <c r="H34">
        <v>800</v>
      </c>
      <c r="I34">
        <v>160</v>
      </c>
      <c r="J34">
        <v>96</v>
      </c>
      <c r="K34">
        <v>-4</v>
      </c>
      <c r="M34">
        <v>384</v>
      </c>
      <c r="N34">
        <v>0</v>
      </c>
      <c r="O34">
        <v>32</v>
      </c>
      <c r="P34">
        <v>64</v>
      </c>
      <c r="Q34">
        <v>64</v>
      </c>
      <c r="R34">
        <v>384</v>
      </c>
      <c r="S34">
        <v>544</v>
      </c>
      <c r="T34">
        <v>800</v>
      </c>
      <c r="U34">
        <v>160</v>
      </c>
      <c r="V34">
        <v>96</v>
      </c>
      <c r="W34">
        <v>5242720</v>
      </c>
      <c r="X34">
        <v>-3145728</v>
      </c>
      <c r="Y34">
        <v>5242720</v>
      </c>
    </row>
    <row r="35" spans="1:25" x14ac:dyDescent="0.25">
      <c r="A35">
        <v>7</v>
      </c>
      <c r="B35">
        <v>18</v>
      </c>
      <c r="C35">
        <v>11</v>
      </c>
      <c r="D35">
        <v>16</v>
      </c>
      <c r="E35">
        <v>16</v>
      </c>
      <c r="F35">
        <v>15</v>
      </c>
      <c r="G35">
        <v>17</v>
      </c>
      <c r="H35">
        <v>0</v>
      </c>
      <c r="I35">
        <v>25</v>
      </c>
      <c r="J35">
        <v>24</v>
      </c>
      <c r="K35">
        <v>-13</v>
      </c>
      <c r="M35">
        <v>896</v>
      </c>
      <c r="N35">
        <v>288</v>
      </c>
      <c r="O35">
        <v>832</v>
      </c>
      <c r="P35">
        <v>32</v>
      </c>
      <c r="Q35">
        <v>32</v>
      </c>
      <c r="R35">
        <v>960</v>
      </c>
      <c r="S35">
        <v>544</v>
      </c>
      <c r="T35">
        <v>0</v>
      </c>
      <c r="U35">
        <v>608</v>
      </c>
      <c r="V35">
        <v>96</v>
      </c>
      <c r="W35">
        <v>53</v>
      </c>
      <c r="X35">
        <v>-342</v>
      </c>
      <c r="Y35">
        <v>-342</v>
      </c>
    </row>
    <row r="36" spans="1:25" x14ac:dyDescent="0.25">
      <c r="A36">
        <v>384</v>
      </c>
      <c r="B36">
        <v>64</v>
      </c>
      <c r="C36">
        <v>768</v>
      </c>
      <c r="D36">
        <v>288</v>
      </c>
      <c r="E36">
        <v>512</v>
      </c>
      <c r="F36">
        <v>192</v>
      </c>
      <c r="G36">
        <v>448</v>
      </c>
      <c r="H36">
        <v>288</v>
      </c>
      <c r="I36">
        <v>224</v>
      </c>
      <c r="J36">
        <v>896</v>
      </c>
      <c r="K36">
        <v>-125</v>
      </c>
      <c r="M36">
        <v>384</v>
      </c>
      <c r="N36">
        <v>64</v>
      </c>
      <c r="O36">
        <v>768</v>
      </c>
      <c r="P36">
        <v>288</v>
      </c>
      <c r="Q36">
        <v>512</v>
      </c>
      <c r="R36">
        <v>192</v>
      </c>
      <c r="S36">
        <v>448</v>
      </c>
      <c r="T36">
        <v>288</v>
      </c>
      <c r="U36">
        <v>224</v>
      </c>
      <c r="V36">
        <v>896</v>
      </c>
      <c r="W36">
        <v>7339808</v>
      </c>
      <c r="X36">
        <v>-8388608</v>
      </c>
      <c r="Y36">
        <v>7339808</v>
      </c>
    </row>
    <row r="37" spans="1:25" x14ac:dyDescent="0.25">
      <c r="A37">
        <v>29</v>
      </c>
      <c r="B37">
        <v>1</v>
      </c>
      <c r="C37">
        <v>30</v>
      </c>
      <c r="D37">
        <v>21</v>
      </c>
      <c r="E37">
        <v>18</v>
      </c>
      <c r="F37">
        <v>9</v>
      </c>
      <c r="G37">
        <v>8</v>
      </c>
      <c r="H37">
        <v>27</v>
      </c>
      <c r="I37">
        <v>26</v>
      </c>
      <c r="J37">
        <v>4</v>
      </c>
      <c r="K37">
        <v>87</v>
      </c>
      <c r="M37">
        <v>736</v>
      </c>
      <c r="N37">
        <v>512</v>
      </c>
      <c r="O37">
        <v>480</v>
      </c>
      <c r="P37">
        <v>672</v>
      </c>
      <c r="Q37">
        <v>288</v>
      </c>
      <c r="R37">
        <v>576</v>
      </c>
      <c r="S37">
        <v>64</v>
      </c>
      <c r="T37">
        <v>864</v>
      </c>
      <c r="U37">
        <v>352</v>
      </c>
      <c r="V37">
        <v>128</v>
      </c>
      <c r="W37">
        <v>93</v>
      </c>
      <c r="X37">
        <v>-256</v>
      </c>
      <c r="Y37">
        <v>-256</v>
      </c>
    </row>
    <row r="38" spans="1:25" x14ac:dyDescent="0.25">
      <c r="A38">
        <v>0</v>
      </c>
      <c r="B38">
        <v>32</v>
      </c>
      <c r="C38">
        <v>480</v>
      </c>
      <c r="D38">
        <v>928</v>
      </c>
      <c r="E38">
        <v>672</v>
      </c>
      <c r="F38">
        <v>192</v>
      </c>
      <c r="G38">
        <v>64</v>
      </c>
      <c r="H38">
        <v>0</v>
      </c>
      <c r="I38">
        <v>832</v>
      </c>
      <c r="J38">
        <v>448</v>
      </c>
      <c r="K38">
        <v>68</v>
      </c>
      <c r="M38">
        <v>0</v>
      </c>
      <c r="N38">
        <v>32</v>
      </c>
      <c r="O38">
        <v>480</v>
      </c>
      <c r="P38">
        <v>928</v>
      </c>
      <c r="Q38">
        <v>672</v>
      </c>
      <c r="R38">
        <v>192</v>
      </c>
      <c r="S38">
        <v>64</v>
      </c>
      <c r="T38">
        <v>0</v>
      </c>
      <c r="U38">
        <v>832</v>
      </c>
      <c r="V38">
        <v>448</v>
      </c>
      <c r="W38">
        <v>8388607</v>
      </c>
      <c r="X38">
        <v>-8388608</v>
      </c>
      <c r="Y38">
        <v>8388607</v>
      </c>
    </row>
    <row r="39" spans="1:25" x14ac:dyDescent="0.25">
      <c r="A39">
        <v>16</v>
      </c>
      <c r="B39">
        <v>30</v>
      </c>
      <c r="C39">
        <v>26</v>
      </c>
      <c r="D39">
        <v>20</v>
      </c>
      <c r="E39">
        <v>7</v>
      </c>
      <c r="F39">
        <v>16</v>
      </c>
      <c r="G39">
        <v>15</v>
      </c>
      <c r="H39">
        <v>28</v>
      </c>
      <c r="I39">
        <v>12</v>
      </c>
      <c r="J39">
        <v>17</v>
      </c>
      <c r="K39">
        <v>-51</v>
      </c>
      <c r="M39">
        <v>32</v>
      </c>
      <c r="N39">
        <v>480</v>
      </c>
      <c r="O39">
        <v>352</v>
      </c>
      <c r="P39">
        <v>160</v>
      </c>
      <c r="Q39">
        <v>896</v>
      </c>
      <c r="R39">
        <v>32</v>
      </c>
      <c r="S39">
        <v>960</v>
      </c>
      <c r="T39">
        <v>224</v>
      </c>
      <c r="U39">
        <v>192</v>
      </c>
      <c r="V39">
        <v>544</v>
      </c>
      <c r="W39">
        <v>170</v>
      </c>
      <c r="X39">
        <v>-61</v>
      </c>
      <c r="Y39">
        <v>-61</v>
      </c>
    </row>
    <row r="40" spans="1:25" x14ac:dyDescent="0.25">
      <c r="A40">
        <v>768</v>
      </c>
      <c r="B40">
        <v>704</v>
      </c>
      <c r="C40">
        <v>480</v>
      </c>
      <c r="D40">
        <v>320</v>
      </c>
      <c r="E40">
        <v>512</v>
      </c>
      <c r="F40">
        <v>672</v>
      </c>
      <c r="G40">
        <v>640</v>
      </c>
      <c r="H40">
        <v>448</v>
      </c>
      <c r="I40">
        <v>960</v>
      </c>
      <c r="J40">
        <v>960</v>
      </c>
      <c r="K40">
        <v>-63</v>
      </c>
      <c r="M40">
        <v>768</v>
      </c>
      <c r="N40">
        <v>704</v>
      </c>
      <c r="O40">
        <v>480</v>
      </c>
      <c r="P40">
        <v>320</v>
      </c>
      <c r="Q40">
        <v>512</v>
      </c>
      <c r="R40">
        <v>672</v>
      </c>
      <c r="S40">
        <v>640</v>
      </c>
      <c r="T40">
        <v>448</v>
      </c>
      <c r="U40">
        <v>960</v>
      </c>
      <c r="V40">
        <v>960</v>
      </c>
      <c r="W40">
        <v>8388607</v>
      </c>
      <c r="X40">
        <v>-8388608</v>
      </c>
      <c r="Y40">
        <v>8388607</v>
      </c>
    </row>
    <row r="41" spans="1:25" x14ac:dyDescent="0.25">
      <c r="A41">
        <v>16</v>
      </c>
      <c r="B41">
        <v>28</v>
      </c>
      <c r="C41">
        <v>10</v>
      </c>
      <c r="D41">
        <v>8</v>
      </c>
      <c r="E41">
        <v>28</v>
      </c>
      <c r="F41">
        <v>25</v>
      </c>
      <c r="G41">
        <v>21</v>
      </c>
      <c r="H41">
        <v>17</v>
      </c>
      <c r="I41">
        <v>21</v>
      </c>
      <c r="J41">
        <v>16</v>
      </c>
      <c r="K41">
        <v>-52</v>
      </c>
      <c r="M41">
        <v>32</v>
      </c>
      <c r="N41">
        <v>224</v>
      </c>
      <c r="O41">
        <v>320</v>
      </c>
      <c r="P41">
        <v>64</v>
      </c>
      <c r="Q41">
        <v>224</v>
      </c>
      <c r="R41">
        <v>608</v>
      </c>
      <c r="S41">
        <v>672</v>
      </c>
      <c r="T41">
        <v>544</v>
      </c>
      <c r="U41">
        <v>672</v>
      </c>
      <c r="V41">
        <v>32</v>
      </c>
      <c r="W41">
        <v>48</v>
      </c>
      <c r="X41">
        <v>-1024</v>
      </c>
      <c r="Y41">
        <v>-1024</v>
      </c>
    </row>
    <row r="42" spans="1:25" x14ac:dyDescent="0.25">
      <c r="A42">
        <v>128</v>
      </c>
      <c r="B42">
        <v>448</v>
      </c>
      <c r="C42">
        <v>608</v>
      </c>
      <c r="D42">
        <v>64</v>
      </c>
      <c r="E42">
        <v>352</v>
      </c>
      <c r="F42">
        <v>672</v>
      </c>
      <c r="G42">
        <v>736</v>
      </c>
      <c r="H42">
        <v>384</v>
      </c>
      <c r="I42">
        <v>800</v>
      </c>
      <c r="J42">
        <v>736</v>
      </c>
      <c r="K42">
        <v>74</v>
      </c>
      <c r="M42">
        <v>128</v>
      </c>
      <c r="N42">
        <v>448</v>
      </c>
      <c r="O42">
        <v>608</v>
      </c>
      <c r="P42">
        <v>64</v>
      </c>
      <c r="Q42">
        <v>352</v>
      </c>
      <c r="R42">
        <v>672</v>
      </c>
      <c r="S42">
        <v>736</v>
      </c>
      <c r="T42">
        <v>384</v>
      </c>
      <c r="U42">
        <v>800</v>
      </c>
      <c r="V42">
        <v>736</v>
      </c>
      <c r="W42">
        <v>8388607</v>
      </c>
      <c r="X42">
        <v>-8388608</v>
      </c>
      <c r="Y42">
        <v>8388607</v>
      </c>
    </row>
    <row r="43" spans="1:25" x14ac:dyDescent="0.25">
      <c r="A43">
        <v>19</v>
      </c>
      <c r="B43">
        <v>8</v>
      </c>
      <c r="C43">
        <v>13</v>
      </c>
      <c r="D43">
        <v>9</v>
      </c>
      <c r="E43">
        <v>3</v>
      </c>
      <c r="F43">
        <v>31</v>
      </c>
      <c r="G43">
        <v>15</v>
      </c>
      <c r="H43">
        <v>25</v>
      </c>
      <c r="I43">
        <v>19</v>
      </c>
      <c r="J43">
        <v>30</v>
      </c>
      <c r="K43">
        <v>104</v>
      </c>
      <c r="M43">
        <v>800</v>
      </c>
      <c r="N43">
        <v>64</v>
      </c>
      <c r="O43">
        <v>704</v>
      </c>
      <c r="P43">
        <v>576</v>
      </c>
      <c r="Q43">
        <v>768</v>
      </c>
      <c r="R43">
        <v>992</v>
      </c>
      <c r="S43">
        <v>960</v>
      </c>
      <c r="T43">
        <v>608</v>
      </c>
      <c r="U43">
        <v>800</v>
      </c>
      <c r="V43">
        <v>480</v>
      </c>
      <c r="W43">
        <v>40</v>
      </c>
      <c r="X43">
        <v>-69</v>
      </c>
      <c r="Y43">
        <v>-69</v>
      </c>
    </row>
    <row r="44" spans="1:25" x14ac:dyDescent="0.25">
      <c r="A44">
        <v>672</v>
      </c>
      <c r="B44">
        <v>992</v>
      </c>
      <c r="C44">
        <v>992</v>
      </c>
      <c r="D44">
        <v>960</v>
      </c>
      <c r="E44">
        <v>672</v>
      </c>
      <c r="F44">
        <v>960</v>
      </c>
      <c r="G44">
        <v>992</v>
      </c>
      <c r="H44">
        <v>832</v>
      </c>
      <c r="I44">
        <v>992</v>
      </c>
      <c r="J44">
        <v>768</v>
      </c>
      <c r="K44">
        <v>14</v>
      </c>
      <c r="M44">
        <v>672</v>
      </c>
      <c r="N44">
        <v>992</v>
      </c>
      <c r="O44">
        <v>992</v>
      </c>
      <c r="P44">
        <v>960</v>
      </c>
      <c r="Q44">
        <v>672</v>
      </c>
      <c r="R44">
        <v>960</v>
      </c>
      <c r="S44">
        <v>992</v>
      </c>
      <c r="T44">
        <v>832</v>
      </c>
      <c r="U44">
        <v>992</v>
      </c>
      <c r="V44">
        <v>768</v>
      </c>
      <c r="W44">
        <v>8388607</v>
      </c>
      <c r="X44">
        <v>-8388608</v>
      </c>
      <c r="Y44">
        <v>8388607</v>
      </c>
    </row>
    <row r="45" spans="1:25" x14ac:dyDescent="0.25">
      <c r="A45">
        <v>19</v>
      </c>
      <c r="B45">
        <v>7</v>
      </c>
      <c r="C45">
        <v>15</v>
      </c>
      <c r="D45">
        <v>25</v>
      </c>
      <c r="E45">
        <v>3</v>
      </c>
      <c r="F45">
        <v>14</v>
      </c>
      <c r="G45">
        <v>17</v>
      </c>
      <c r="H45">
        <v>7</v>
      </c>
      <c r="I45">
        <v>9</v>
      </c>
      <c r="J45">
        <v>8</v>
      </c>
      <c r="K45">
        <v>67</v>
      </c>
      <c r="M45">
        <v>800</v>
      </c>
      <c r="N45">
        <v>896</v>
      </c>
      <c r="O45">
        <v>960</v>
      </c>
      <c r="P45">
        <v>608</v>
      </c>
      <c r="Q45">
        <v>768</v>
      </c>
      <c r="R45">
        <v>448</v>
      </c>
      <c r="S45">
        <v>544</v>
      </c>
      <c r="T45">
        <v>896</v>
      </c>
      <c r="U45">
        <v>576</v>
      </c>
      <c r="V45">
        <v>64</v>
      </c>
      <c r="W45">
        <v>56</v>
      </c>
      <c r="X45">
        <v>-512</v>
      </c>
      <c r="Y45">
        <v>-512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287E30-A7E3-40BE-9B8E-39C1BA9C9CE9}">
  <sheetPr codeName="Sheet2"/>
  <dimension ref="A1:R30"/>
  <sheetViews>
    <sheetView workbookViewId="0">
      <selection activeCell="A5" sqref="A5:XFD5"/>
    </sheetView>
  </sheetViews>
  <sheetFormatPr defaultRowHeight="15" x14ac:dyDescent="0.25"/>
  <cols>
    <col min="1" max="4" width="10.28515625" bestFit="1" customWidth="1"/>
    <col min="5" max="8" width="10.140625" bestFit="1" customWidth="1"/>
    <col min="9" max="9" width="11" bestFit="1" customWidth="1"/>
    <col min="10" max="10" width="10.85546875" bestFit="1" customWidth="1"/>
    <col min="11" max="11" width="11.5703125" bestFit="1" customWidth="1"/>
    <col min="15" max="15" width="12.5703125" style="4" bestFit="1" customWidth="1"/>
    <col min="16" max="16" width="12.42578125" style="4" bestFit="1" customWidth="1"/>
    <col min="17" max="17" width="12.28515625" style="4" bestFit="1" customWidth="1"/>
    <col min="18" max="18" width="12.140625" style="4" bestFit="1" customWidth="1"/>
  </cols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14</v>
      </c>
      <c r="O1" s="4" t="s">
        <v>10</v>
      </c>
      <c r="P1" s="4" t="s">
        <v>13</v>
      </c>
      <c r="Q1" s="4" t="s">
        <v>11</v>
      </c>
      <c r="R1" s="4" t="s">
        <v>12</v>
      </c>
    </row>
    <row r="2" spans="1:18" x14ac:dyDescent="0.25">
      <c r="A2" t="str">
        <f>DEC2HEX(Sheet1!A6,3)</f>
        <v>010</v>
      </c>
      <c r="B2" t="str">
        <f>DEC2HEX(Sheet1!B6,3)</f>
        <v>000</v>
      </c>
      <c r="C2" t="str">
        <f>DEC2HEX(Sheet1!C6,3)</f>
        <v>000</v>
      </c>
      <c r="D2" t="str">
        <f>DEC2HEX(Sheet1!D6,3)</f>
        <v>000</v>
      </c>
      <c r="E2" t="str">
        <f>DEC2HEX(Sheet1!E6,3)</f>
        <v>000</v>
      </c>
      <c r="F2" t="str">
        <f>DEC2HEX(Sheet1!F6,3)</f>
        <v>000</v>
      </c>
      <c r="G2" t="str">
        <f>DEC2HEX(Sheet1!G6,3)</f>
        <v>000</v>
      </c>
      <c r="H2" t="str">
        <f>DEC2HEX(Sheet1!H6,3)</f>
        <v>000</v>
      </c>
      <c r="I2" t="str">
        <f>DEC2HEX(Sheet1!I6,3)</f>
        <v>000</v>
      </c>
      <c r="J2" t="str">
        <f>DEC2HEX(Sheet1!J6,3)</f>
        <v>000</v>
      </c>
      <c r="K2" t="str">
        <f>DEC2HEX(Sheet1!K6,4)</f>
        <v>FFFFFFFFDD</v>
      </c>
    </row>
    <row r="3" spans="1:18" x14ac:dyDescent="0.25">
      <c r="A3" t="str">
        <f>DEC2HEX(Sheet1!A7,3)</f>
        <v>020</v>
      </c>
      <c r="B3" t="str">
        <f>DEC2HEX(Sheet1!B7,3)</f>
        <v>020</v>
      </c>
      <c r="C3" t="str">
        <f>DEC2HEX(Sheet1!C7,3)</f>
        <v>000</v>
      </c>
      <c r="D3" t="str">
        <f>DEC2HEX(Sheet1!D7,3)</f>
        <v>020</v>
      </c>
      <c r="E3" t="str">
        <f>DEC2HEX(Sheet1!E7,3)</f>
        <v>020</v>
      </c>
      <c r="F3" t="str">
        <f>DEC2HEX(Sheet1!F7,3)</f>
        <v>000</v>
      </c>
      <c r="G3" t="str">
        <f>DEC2HEX(Sheet1!G7,3)</f>
        <v>020</v>
      </c>
      <c r="H3" t="str">
        <f>DEC2HEX(Sheet1!H7,3)</f>
        <v>020</v>
      </c>
      <c r="I3" t="str">
        <f>DEC2HEX(Sheet1!I7,3)</f>
        <v>020</v>
      </c>
      <c r="J3" t="str">
        <f>DEC2HEX(Sheet1!J7,3)</f>
        <v>020</v>
      </c>
      <c r="K3" t="str">
        <f>DEC2HEX(Sheet1!K7,4)</f>
        <v>005A</v>
      </c>
    </row>
    <row r="4" spans="1:18" x14ac:dyDescent="0.25">
      <c r="A4" t="str">
        <f>DEC2HEX(Sheet1!A8,3)</f>
        <v>01F</v>
      </c>
      <c r="B4" t="str">
        <f>DEC2HEX(Sheet1!B8,3)</f>
        <v>01F</v>
      </c>
      <c r="C4" t="str">
        <f>DEC2HEX(Sheet1!C8,3)</f>
        <v>01F</v>
      </c>
      <c r="D4" t="str">
        <f>DEC2HEX(Sheet1!D8,3)</f>
        <v>017</v>
      </c>
      <c r="E4" t="str">
        <f>DEC2HEX(Sheet1!E8,3)</f>
        <v>019</v>
      </c>
      <c r="F4" t="str">
        <f>DEC2HEX(Sheet1!F8,3)</f>
        <v>01B</v>
      </c>
      <c r="G4" t="str">
        <f>DEC2HEX(Sheet1!G8,3)</f>
        <v>017</v>
      </c>
      <c r="H4" t="str">
        <f>DEC2HEX(Sheet1!H8,3)</f>
        <v>01B</v>
      </c>
      <c r="I4" t="str">
        <f>DEC2HEX(Sheet1!I8,3)</f>
        <v>016</v>
      </c>
      <c r="J4" t="str">
        <f>DEC2HEX(Sheet1!J8,3)</f>
        <v>01E</v>
      </c>
      <c r="K4" t="str">
        <f>DEC2HEX(Sheet1!K8,4)</f>
        <v>FFFFFFFFDE</v>
      </c>
    </row>
    <row r="5" spans="1:18" x14ac:dyDescent="0.25">
      <c r="A5" t="str">
        <f>DEC2HEX(Sheet1!A9,3)</f>
        <v>060</v>
      </c>
      <c r="B5" t="str">
        <f>DEC2HEX(Sheet1!B9,3)</f>
        <v>3C0</v>
      </c>
      <c r="C5" t="str">
        <f>DEC2HEX(Sheet1!C9,3)</f>
        <v>300</v>
      </c>
      <c r="D5" t="str">
        <f>DEC2HEX(Sheet1!D9,3)</f>
        <v>340</v>
      </c>
      <c r="E5" t="str">
        <f>DEC2HEX(Sheet1!E9,3)</f>
        <v>0A0</v>
      </c>
      <c r="F5" t="str">
        <f>DEC2HEX(Sheet1!F9,3)</f>
        <v>020</v>
      </c>
      <c r="G5" t="str">
        <f>DEC2HEX(Sheet1!G9,3)</f>
        <v>040</v>
      </c>
      <c r="H5" t="str">
        <f>DEC2HEX(Sheet1!H9,3)</f>
        <v>140</v>
      </c>
      <c r="I5" t="str">
        <f>DEC2HEX(Sheet1!I9,3)</f>
        <v>1E0</v>
      </c>
      <c r="J5" t="str">
        <f>DEC2HEX(Sheet1!J9,3)</f>
        <v>340</v>
      </c>
      <c r="K5" t="str">
        <f>DEC2HEX(Sheet1!K9,4)</f>
        <v>FFFFFFFFF4</v>
      </c>
    </row>
    <row r="6" spans="1:18" x14ac:dyDescent="0.25">
      <c r="A6" t="str">
        <f>DEC2HEX(Sheet1!A10,3)</f>
        <v>016</v>
      </c>
      <c r="B6" t="str">
        <f>DEC2HEX(Sheet1!B10,3)</f>
        <v>01D</v>
      </c>
      <c r="C6" t="str">
        <f>DEC2HEX(Sheet1!C10,3)</f>
        <v>01B</v>
      </c>
      <c r="D6" t="str">
        <f>DEC2HEX(Sheet1!D10,3)</f>
        <v>00B</v>
      </c>
      <c r="E6" t="str">
        <f>DEC2HEX(Sheet1!E10,3)</f>
        <v>003</v>
      </c>
      <c r="F6" t="str">
        <f>DEC2HEX(Sheet1!F10,3)</f>
        <v>01F</v>
      </c>
      <c r="G6" t="str">
        <f>DEC2HEX(Sheet1!G10,3)</f>
        <v>00E</v>
      </c>
      <c r="H6" t="str">
        <f>DEC2HEX(Sheet1!H10,3)</f>
        <v>01D</v>
      </c>
      <c r="I6" t="str">
        <f>DEC2HEX(Sheet1!I10,3)</f>
        <v>002</v>
      </c>
      <c r="J6" t="str">
        <f>DEC2HEX(Sheet1!J10,3)</f>
        <v>00C</v>
      </c>
      <c r="K6" t="str">
        <f>DEC2HEX(Sheet1!K10,4)</f>
        <v>006C</v>
      </c>
    </row>
    <row r="7" spans="1:18" x14ac:dyDescent="0.25">
      <c r="A7" t="str">
        <f>DEC2HEX(Sheet1!A11,3)</f>
        <v>120</v>
      </c>
      <c r="B7" t="str">
        <f>DEC2HEX(Sheet1!B11,3)</f>
        <v>080</v>
      </c>
      <c r="C7" t="str">
        <f>DEC2HEX(Sheet1!C11,3)</f>
        <v>3E0</v>
      </c>
      <c r="D7" t="str">
        <f>DEC2HEX(Sheet1!D11,3)</f>
        <v>020</v>
      </c>
      <c r="E7" t="str">
        <f>DEC2HEX(Sheet1!E11,3)</f>
        <v>380</v>
      </c>
      <c r="F7" t="str">
        <f>DEC2HEX(Sheet1!F11,3)</f>
        <v>360</v>
      </c>
      <c r="G7" t="str">
        <f>DEC2HEX(Sheet1!G11,3)</f>
        <v>1C0</v>
      </c>
      <c r="H7" t="str">
        <f>DEC2HEX(Sheet1!H11,3)</f>
        <v>0A0</v>
      </c>
      <c r="I7" t="str">
        <f>DEC2HEX(Sheet1!I11,3)</f>
        <v>220</v>
      </c>
      <c r="J7" t="str">
        <f>DEC2HEX(Sheet1!J11,3)</f>
        <v>380</v>
      </c>
      <c r="K7" t="str">
        <f>DEC2HEX(Sheet1!K11,4)</f>
        <v>FFFFFFFF49</v>
      </c>
    </row>
    <row r="8" spans="1:18" x14ac:dyDescent="0.25">
      <c r="A8" t="str">
        <f>DEC2HEX(Sheet1!A12,3)</f>
        <v>002</v>
      </c>
      <c r="B8" t="str">
        <f>DEC2HEX(Sheet1!B12,3)</f>
        <v>003</v>
      </c>
      <c r="C8" t="str">
        <f>DEC2HEX(Sheet1!C12,3)</f>
        <v>01E</v>
      </c>
      <c r="D8" t="str">
        <f>DEC2HEX(Sheet1!D12,3)</f>
        <v>001</v>
      </c>
      <c r="E8" t="str">
        <f>DEC2HEX(Sheet1!E12,3)</f>
        <v>01F</v>
      </c>
      <c r="F8" t="str">
        <f>DEC2HEX(Sheet1!F12,3)</f>
        <v>00B</v>
      </c>
      <c r="G8" t="str">
        <f>DEC2HEX(Sheet1!G12,3)</f>
        <v>019</v>
      </c>
      <c r="H8" t="str">
        <f>DEC2HEX(Sheet1!H12,3)</f>
        <v>001</v>
      </c>
      <c r="I8" t="str">
        <f>DEC2HEX(Sheet1!I12,3)</f>
        <v>015</v>
      </c>
      <c r="J8" t="str">
        <f>DEC2HEX(Sheet1!J12,3)</f>
        <v>016</v>
      </c>
      <c r="K8" t="str">
        <f>DEC2HEX(Sheet1!K12,4)</f>
        <v>FFFFFFFF81</v>
      </c>
    </row>
    <row r="9" spans="1:18" x14ac:dyDescent="0.25">
      <c r="A9" t="str">
        <f>DEC2HEX(Sheet1!A13,3)</f>
        <v>040</v>
      </c>
      <c r="B9" t="str">
        <f>DEC2HEX(Sheet1!B13,3)</f>
        <v>2A0</v>
      </c>
      <c r="C9" t="str">
        <f>DEC2HEX(Sheet1!C13,3)</f>
        <v>200</v>
      </c>
      <c r="D9" t="str">
        <f>DEC2HEX(Sheet1!D13,3)</f>
        <v>360</v>
      </c>
      <c r="E9" t="str">
        <f>DEC2HEX(Sheet1!E13,3)</f>
        <v>360</v>
      </c>
      <c r="F9" t="str">
        <f>DEC2HEX(Sheet1!F13,3)</f>
        <v>0C0</v>
      </c>
      <c r="G9" t="str">
        <f>DEC2HEX(Sheet1!G13,3)</f>
        <v>2E0</v>
      </c>
      <c r="H9" t="str">
        <f>DEC2HEX(Sheet1!H13,3)</f>
        <v>380</v>
      </c>
      <c r="I9" t="str">
        <f>DEC2HEX(Sheet1!I13,3)</f>
        <v>180</v>
      </c>
      <c r="J9" t="str">
        <f>DEC2HEX(Sheet1!J13,3)</f>
        <v>020</v>
      </c>
      <c r="K9" t="str">
        <f>DEC2HEX(Sheet1!K13,4)</f>
        <v>002E</v>
      </c>
    </row>
    <row r="10" spans="1:18" x14ac:dyDescent="0.25">
      <c r="A10" t="str">
        <f>DEC2HEX(Sheet1!A14,3)</f>
        <v>011</v>
      </c>
      <c r="B10" t="str">
        <f>DEC2HEX(Sheet1!B14,3)</f>
        <v>011</v>
      </c>
      <c r="C10" t="str">
        <f>DEC2HEX(Sheet1!C14,3)</f>
        <v>003</v>
      </c>
      <c r="D10" t="str">
        <f>DEC2HEX(Sheet1!D14,3)</f>
        <v>018</v>
      </c>
      <c r="E10" t="str">
        <f>DEC2HEX(Sheet1!E14,3)</f>
        <v>001</v>
      </c>
      <c r="F10" t="str">
        <f>DEC2HEX(Sheet1!F14,3)</f>
        <v>017</v>
      </c>
      <c r="G10" t="str">
        <f>DEC2HEX(Sheet1!G14,3)</f>
        <v>013</v>
      </c>
      <c r="H10" t="str">
        <f>DEC2HEX(Sheet1!H14,3)</f>
        <v>002</v>
      </c>
      <c r="I10" t="str">
        <f>DEC2HEX(Sheet1!I14,3)</f>
        <v>00C</v>
      </c>
      <c r="J10" t="str">
        <f>DEC2HEX(Sheet1!J14,3)</f>
        <v>01B</v>
      </c>
      <c r="K10" t="str">
        <f>DEC2HEX(Sheet1!K14,4)</f>
        <v>FFFFFFE816</v>
      </c>
    </row>
    <row r="11" spans="1:18" x14ac:dyDescent="0.25">
      <c r="A11" t="str">
        <f>DEC2HEX(Sheet1!A15,3)</f>
        <v>020</v>
      </c>
      <c r="B11" t="str">
        <f>DEC2HEX(Sheet1!B15,3)</f>
        <v>020</v>
      </c>
      <c r="C11" t="str">
        <f>DEC2HEX(Sheet1!C15,3)</f>
        <v>000</v>
      </c>
      <c r="D11" t="str">
        <f>DEC2HEX(Sheet1!D15,3)</f>
        <v>020</v>
      </c>
      <c r="E11" t="str">
        <f>DEC2HEX(Sheet1!E15,3)</f>
        <v>000</v>
      </c>
      <c r="F11" t="str">
        <f>DEC2HEX(Sheet1!F15,3)</f>
        <v>020</v>
      </c>
      <c r="G11" t="str">
        <f>DEC2HEX(Sheet1!G15,3)</f>
        <v>020</v>
      </c>
      <c r="H11" t="str">
        <f>DEC2HEX(Sheet1!H15,3)</f>
        <v>000</v>
      </c>
      <c r="I11" t="str">
        <f>DEC2HEX(Sheet1!I15,3)</f>
        <v>040</v>
      </c>
      <c r="J11" t="str">
        <f>DEC2HEX(Sheet1!J15,3)</f>
        <v>000</v>
      </c>
      <c r="K11" t="str">
        <f>DEC2HEX(Sheet1!K15,4)</f>
        <v>004D</v>
      </c>
    </row>
    <row r="12" spans="1:18" x14ac:dyDescent="0.25">
      <c r="A12" t="str">
        <f>DEC2HEX(Sheet1!A16,3)</f>
        <v>010</v>
      </c>
      <c r="B12" t="str">
        <f>DEC2HEX(Sheet1!B16,3)</f>
        <v>00C</v>
      </c>
      <c r="C12" t="str">
        <f>DEC2HEX(Sheet1!C16,3)</f>
        <v>014</v>
      </c>
      <c r="D12" t="str">
        <f>DEC2HEX(Sheet1!D16,3)</f>
        <v>00A</v>
      </c>
      <c r="E12" t="str">
        <f>DEC2HEX(Sheet1!E16,3)</f>
        <v>004</v>
      </c>
      <c r="F12" t="str">
        <f>DEC2HEX(Sheet1!F16,3)</f>
        <v>00A</v>
      </c>
      <c r="G12" t="str">
        <f>DEC2HEX(Sheet1!G16,3)</f>
        <v>013</v>
      </c>
      <c r="H12" t="str">
        <f>DEC2HEX(Sheet1!H16,3)</f>
        <v>002</v>
      </c>
      <c r="I12" t="str">
        <f>DEC2HEX(Sheet1!I16,3)</f>
        <v>000</v>
      </c>
      <c r="J12" t="str">
        <f>DEC2HEX(Sheet1!J16,3)</f>
        <v>00B</v>
      </c>
      <c r="K12" t="str">
        <f>DEC2HEX(Sheet1!K16,4)</f>
        <v>FFFFFFFF8D</v>
      </c>
    </row>
    <row r="13" spans="1:18" x14ac:dyDescent="0.25">
      <c r="A13" t="str">
        <f>DEC2HEX(Sheet1!A17,3)</f>
        <v>020</v>
      </c>
      <c r="B13" t="str">
        <f>DEC2HEX(Sheet1!B17,3)</f>
        <v>0E0</v>
      </c>
      <c r="C13" t="str">
        <f>DEC2HEX(Sheet1!C17,3)</f>
        <v>060</v>
      </c>
      <c r="D13" t="str">
        <f>DEC2HEX(Sheet1!D17,3)</f>
        <v>0C0</v>
      </c>
      <c r="E13" t="str">
        <f>DEC2HEX(Sheet1!E17,3)</f>
        <v>040</v>
      </c>
      <c r="F13" t="str">
        <f>DEC2HEX(Sheet1!F17,3)</f>
        <v>0E0</v>
      </c>
      <c r="G13" t="str">
        <f>DEC2HEX(Sheet1!G17,3)</f>
        <v>080</v>
      </c>
      <c r="H13" t="str">
        <f>DEC2HEX(Sheet1!H17,3)</f>
        <v>0E0</v>
      </c>
      <c r="I13" t="str">
        <f>DEC2HEX(Sheet1!I17,3)</f>
        <v>020</v>
      </c>
      <c r="J13" t="str">
        <f>DEC2HEX(Sheet1!J17,3)</f>
        <v>0E0</v>
      </c>
      <c r="K13" t="str">
        <f>DEC2HEX(Sheet1!K17,4)</f>
        <v>FFFFFFFE0F</v>
      </c>
    </row>
    <row r="14" spans="1:18" x14ac:dyDescent="0.25">
      <c r="A14" t="str">
        <f>DEC2HEX(Sheet1!A18,3)</f>
        <v>018</v>
      </c>
      <c r="B14" t="str">
        <f>DEC2HEX(Sheet1!B18,3)</f>
        <v>016</v>
      </c>
      <c r="C14" t="str">
        <f>DEC2HEX(Sheet1!C18,3)</f>
        <v>019</v>
      </c>
      <c r="D14" t="str">
        <f>DEC2HEX(Sheet1!D18,3)</f>
        <v>003</v>
      </c>
      <c r="E14" t="str">
        <f>DEC2HEX(Sheet1!E18,3)</f>
        <v>014</v>
      </c>
      <c r="F14" t="str">
        <f>DEC2HEX(Sheet1!F18,3)</f>
        <v>01B</v>
      </c>
      <c r="G14" t="str">
        <f>DEC2HEX(Sheet1!G18,3)</f>
        <v>011</v>
      </c>
      <c r="H14" t="str">
        <f>DEC2HEX(Sheet1!H18,3)</f>
        <v>004</v>
      </c>
      <c r="I14" t="str">
        <f>DEC2HEX(Sheet1!I18,3)</f>
        <v>00E</v>
      </c>
      <c r="J14" t="str">
        <f>DEC2HEX(Sheet1!J18,3)</f>
        <v>008</v>
      </c>
      <c r="K14" t="str">
        <f>DEC2HEX(Sheet1!K18,4)</f>
        <v>002C</v>
      </c>
    </row>
    <row r="15" spans="1:18" x14ac:dyDescent="0.25">
      <c r="A15" t="str">
        <f>DEC2HEX(Sheet1!A19,3)</f>
        <v>060</v>
      </c>
      <c r="B15" t="str">
        <f>DEC2HEX(Sheet1!B19,3)</f>
        <v>020</v>
      </c>
      <c r="C15" t="str">
        <f>DEC2HEX(Sheet1!C19,3)</f>
        <v>040</v>
      </c>
      <c r="D15" t="str">
        <f>DEC2HEX(Sheet1!D19,3)</f>
        <v>060</v>
      </c>
      <c r="E15" t="str">
        <f>DEC2HEX(Sheet1!E19,3)</f>
        <v>040</v>
      </c>
      <c r="F15" t="str">
        <f>DEC2HEX(Sheet1!F19,3)</f>
        <v>020</v>
      </c>
      <c r="G15" t="str">
        <f>DEC2HEX(Sheet1!G19,3)</f>
        <v>020</v>
      </c>
      <c r="H15" t="str">
        <f>DEC2HEX(Sheet1!H19,3)</f>
        <v>000</v>
      </c>
      <c r="I15" t="str">
        <f>DEC2HEX(Sheet1!I19,3)</f>
        <v>040</v>
      </c>
      <c r="J15" t="str">
        <f>DEC2HEX(Sheet1!J19,3)</f>
        <v>020</v>
      </c>
      <c r="K15" t="str">
        <f>DEC2HEX(Sheet1!K19,4)</f>
        <v>FFFFFFDDBE</v>
      </c>
    </row>
    <row r="16" spans="1:18" x14ac:dyDescent="0.25">
      <c r="A16" t="str">
        <f>DEC2HEX(Sheet1!A20,3)</f>
        <v>019</v>
      </c>
      <c r="B16" t="str">
        <f>DEC2HEX(Sheet1!B20,3)</f>
        <v>001</v>
      </c>
      <c r="C16" t="str">
        <f>DEC2HEX(Sheet1!C20,3)</f>
        <v>005</v>
      </c>
      <c r="D16" t="str">
        <f>DEC2HEX(Sheet1!D20,3)</f>
        <v>017</v>
      </c>
      <c r="E16" t="str">
        <f>DEC2HEX(Sheet1!E20,3)</f>
        <v>019</v>
      </c>
      <c r="F16" t="str">
        <f>DEC2HEX(Sheet1!F20,3)</f>
        <v>019</v>
      </c>
      <c r="G16" t="str">
        <f>DEC2HEX(Sheet1!G20,3)</f>
        <v>011</v>
      </c>
      <c r="H16" t="str">
        <f>DEC2HEX(Sheet1!H20,3)</f>
        <v>01B</v>
      </c>
      <c r="I16" t="str">
        <f>DEC2HEX(Sheet1!I20,3)</f>
        <v>007</v>
      </c>
      <c r="J16" t="str">
        <f>DEC2HEX(Sheet1!J20,3)</f>
        <v>005</v>
      </c>
      <c r="K16" t="str">
        <f>DEC2HEX(Sheet1!K20,4)</f>
        <v>0075</v>
      </c>
    </row>
    <row r="17" spans="1:11" x14ac:dyDescent="0.25">
      <c r="A17" t="str">
        <f>DEC2HEX(Sheet1!A21,3)</f>
        <v>020</v>
      </c>
      <c r="B17" t="str">
        <f>DEC2HEX(Sheet1!B21,3)</f>
        <v>000</v>
      </c>
      <c r="C17" t="str">
        <f>DEC2HEX(Sheet1!C21,3)</f>
        <v>020</v>
      </c>
      <c r="D17" t="str">
        <f>DEC2HEX(Sheet1!D21,3)</f>
        <v>000</v>
      </c>
      <c r="E17" t="str">
        <f>DEC2HEX(Sheet1!E21,3)</f>
        <v>060</v>
      </c>
      <c r="F17" t="str">
        <f>DEC2HEX(Sheet1!F21,3)</f>
        <v>060</v>
      </c>
      <c r="G17" t="str">
        <f>DEC2HEX(Sheet1!G21,3)</f>
        <v>020</v>
      </c>
      <c r="H17" t="str">
        <f>DEC2HEX(Sheet1!H21,3)</f>
        <v>020</v>
      </c>
      <c r="I17" t="str">
        <f>DEC2HEX(Sheet1!I21,3)</f>
        <v>020</v>
      </c>
      <c r="J17" t="str">
        <f>DEC2HEX(Sheet1!J21,3)</f>
        <v>040</v>
      </c>
      <c r="K17" t="str">
        <f>DEC2HEX(Sheet1!K21,4)</f>
        <v>0158</v>
      </c>
    </row>
    <row r="18" spans="1:11" x14ac:dyDescent="0.25">
      <c r="A18" t="str">
        <f>DEC2HEX(Sheet1!A22,3)</f>
        <v>00B</v>
      </c>
      <c r="B18" t="str">
        <f>DEC2HEX(Sheet1!B22,3)</f>
        <v>004</v>
      </c>
      <c r="C18" t="str">
        <f>DEC2HEX(Sheet1!C22,3)</f>
        <v>007</v>
      </c>
      <c r="D18" t="str">
        <f>DEC2HEX(Sheet1!D22,3)</f>
        <v>00A</v>
      </c>
      <c r="E18" t="str">
        <f>DEC2HEX(Sheet1!E22,3)</f>
        <v>00F</v>
      </c>
      <c r="F18" t="str">
        <f>DEC2HEX(Sheet1!F22,3)</f>
        <v>016</v>
      </c>
      <c r="G18" t="str">
        <f>DEC2HEX(Sheet1!G22,3)</f>
        <v>005</v>
      </c>
      <c r="H18" t="str">
        <f>DEC2HEX(Sheet1!H22,3)</f>
        <v>013</v>
      </c>
      <c r="I18" t="str">
        <f>DEC2HEX(Sheet1!I22,3)</f>
        <v>01F</v>
      </c>
      <c r="J18" t="str">
        <f>DEC2HEX(Sheet1!J22,3)</f>
        <v>01A</v>
      </c>
      <c r="K18" t="str">
        <f>DEC2HEX(Sheet1!K22,4)</f>
        <v>0016</v>
      </c>
    </row>
    <row r="19" spans="1:11" x14ac:dyDescent="0.25">
      <c r="A19" t="str">
        <f>DEC2HEX(Sheet1!A23,3)</f>
        <v>060</v>
      </c>
      <c r="B19" t="str">
        <f>DEC2HEX(Sheet1!B23,3)</f>
        <v>060</v>
      </c>
      <c r="C19" t="str">
        <f>DEC2HEX(Sheet1!C23,3)</f>
        <v>060</v>
      </c>
      <c r="D19" t="str">
        <f>DEC2HEX(Sheet1!D23,3)</f>
        <v>080</v>
      </c>
      <c r="E19" t="str">
        <f>DEC2HEX(Sheet1!E23,3)</f>
        <v>060</v>
      </c>
      <c r="F19" t="str">
        <f>DEC2HEX(Sheet1!F23,3)</f>
        <v>080</v>
      </c>
      <c r="G19" t="str">
        <f>DEC2HEX(Sheet1!G23,3)</f>
        <v>060</v>
      </c>
      <c r="H19" t="str">
        <f>DEC2HEX(Sheet1!H23,3)</f>
        <v>080</v>
      </c>
      <c r="I19" t="str">
        <f>DEC2HEX(Sheet1!I23,3)</f>
        <v>060</v>
      </c>
      <c r="J19" t="str">
        <f>DEC2HEX(Sheet1!J23,3)</f>
        <v>060</v>
      </c>
      <c r="K19" t="str">
        <f>DEC2HEX(Sheet1!K23,4)</f>
        <v>01F2</v>
      </c>
    </row>
    <row r="20" spans="1:11" x14ac:dyDescent="0.25">
      <c r="A20" t="str">
        <f>DEC2HEX(Sheet1!A24,3)</f>
        <v>000</v>
      </c>
      <c r="B20" t="str">
        <f>DEC2HEX(Sheet1!B24,3)</f>
        <v>01B</v>
      </c>
      <c r="C20" t="str">
        <f>DEC2HEX(Sheet1!C24,3)</f>
        <v>001</v>
      </c>
      <c r="D20" t="str">
        <f>DEC2HEX(Sheet1!D24,3)</f>
        <v>010</v>
      </c>
      <c r="E20" t="str">
        <f>DEC2HEX(Sheet1!E24,3)</f>
        <v>012</v>
      </c>
      <c r="F20" t="str">
        <f>DEC2HEX(Sheet1!F24,3)</f>
        <v>002</v>
      </c>
      <c r="G20" t="str">
        <f>DEC2HEX(Sheet1!G24,3)</f>
        <v>00D</v>
      </c>
      <c r="H20" t="str">
        <f>DEC2HEX(Sheet1!H24,3)</f>
        <v>01B</v>
      </c>
      <c r="I20" t="str">
        <f>DEC2HEX(Sheet1!I24,3)</f>
        <v>00A</v>
      </c>
      <c r="J20" t="str">
        <f>DEC2HEX(Sheet1!J24,3)</f>
        <v>006</v>
      </c>
      <c r="K20" t="str">
        <f>DEC2HEX(Sheet1!K24,4)</f>
        <v>0049</v>
      </c>
    </row>
    <row r="21" spans="1:11" x14ac:dyDescent="0.25">
      <c r="A21" t="str">
        <f>DEC2HEX(Sheet1!A25,3)</f>
        <v>1A0</v>
      </c>
      <c r="B21" t="str">
        <f>DEC2HEX(Sheet1!B25,3)</f>
        <v>1E0</v>
      </c>
      <c r="C21" t="str">
        <f>DEC2HEX(Sheet1!C25,3)</f>
        <v>060</v>
      </c>
      <c r="D21" t="str">
        <f>DEC2HEX(Sheet1!D25,3)</f>
        <v>200</v>
      </c>
      <c r="E21" t="str">
        <f>DEC2HEX(Sheet1!E25,3)</f>
        <v>1C0</v>
      </c>
      <c r="F21" t="str">
        <f>DEC2HEX(Sheet1!F25,3)</f>
        <v>1E0</v>
      </c>
      <c r="G21" t="str">
        <f>DEC2HEX(Sheet1!G25,3)</f>
        <v>240</v>
      </c>
      <c r="H21" t="str">
        <f>DEC2HEX(Sheet1!H25,3)</f>
        <v>300</v>
      </c>
      <c r="I21" t="str">
        <f>DEC2HEX(Sheet1!I25,3)</f>
        <v>0A0</v>
      </c>
      <c r="J21" t="str">
        <f>DEC2HEX(Sheet1!J25,3)</f>
        <v>340</v>
      </c>
      <c r="K21" t="str">
        <f>DEC2HEX(Sheet1!K25,3)</f>
        <v>06C</v>
      </c>
    </row>
    <row r="22" spans="1:11" x14ac:dyDescent="0.25">
      <c r="A22" t="str">
        <f>DEC2HEX(Sheet1!A26,3)</f>
        <v>2C0</v>
      </c>
      <c r="B22" t="str">
        <f>DEC2HEX(Sheet1!B26,3)</f>
        <v>180</v>
      </c>
      <c r="C22" t="str">
        <f>DEC2HEX(Sheet1!C26,3)</f>
        <v>120</v>
      </c>
      <c r="D22" t="str">
        <f>DEC2HEX(Sheet1!D26,3)</f>
        <v>2C0</v>
      </c>
      <c r="E22" t="str">
        <f>DEC2HEX(Sheet1!E26,3)</f>
        <v>0E0</v>
      </c>
      <c r="F22" t="str">
        <f>DEC2HEX(Sheet1!F26,3)</f>
        <v>1A0</v>
      </c>
      <c r="G22" t="str">
        <f>DEC2HEX(Sheet1!G26,3)</f>
        <v>0E0</v>
      </c>
      <c r="H22" t="str">
        <f>DEC2HEX(Sheet1!H26,3)</f>
        <v>2E0</v>
      </c>
      <c r="I22" t="str">
        <f>DEC2HEX(Sheet1!I26,3)</f>
        <v>1E0</v>
      </c>
      <c r="J22" t="str">
        <f>DEC2HEX(Sheet1!J26,3)</f>
        <v>0A0</v>
      </c>
      <c r="K22" t="str">
        <f>DEC2HEX(Sheet1!K26,3)</f>
        <v>FFFFFFFFEB</v>
      </c>
    </row>
    <row r="23" spans="1:11" x14ac:dyDescent="0.25">
      <c r="A23" t="str">
        <f>DEC2HEX(Sheet1!A27,3)</f>
        <v>380</v>
      </c>
      <c r="B23" t="str">
        <f>DEC2HEX(Sheet1!B27,3)</f>
        <v>060</v>
      </c>
      <c r="C23" t="str">
        <f>DEC2HEX(Sheet1!C27,3)</f>
        <v>080</v>
      </c>
      <c r="D23" t="str">
        <f>DEC2HEX(Sheet1!D27,3)</f>
        <v>160</v>
      </c>
      <c r="E23" t="str">
        <f>DEC2HEX(Sheet1!E27,3)</f>
        <v>340</v>
      </c>
      <c r="F23" t="str">
        <f>DEC2HEX(Sheet1!F27,3)</f>
        <v>3E0</v>
      </c>
      <c r="G23" t="str">
        <f>DEC2HEX(Sheet1!G27,3)</f>
        <v>040</v>
      </c>
      <c r="H23" t="str">
        <f>DEC2HEX(Sheet1!H27,3)</f>
        <v>3A0</v>
      </c>
      <c r="I23" t="str">
        <f>DEC2HEX(Sheet1!I27,3)</f>
        <v>300</v>
      </c>
      <c r="J23" t="str">
        <f>DEC2HEX(Sheet1!J27,3)</f>
        <v>3E0</v>
      </c>
      <c r="K23" t="str">
        <f>DEC2HEX(Sheet1!K27,3)</f>
        <v>04A</v>
      </c>
    </row>
    <row r="24" spans="1:11" x14ac:dyDescent="0.25">
      <c r="A24" t="str">
        <f>DEC2HEX(Sheet1!A28,3)</f>
        <v>1A0</v>
      </c>
      <c r="B24" t="str">
        <f>DEC2HEX(Sheet1!B28,3)</f>
        <v>100</v>
      </c>
      <c r="C24" t="str">
        <f>DEC2HEX(Sheet1!C28,3)</f>
        <v>280</v>
      </c>
      <c r="D24" t="str">
        <f>DEC2HEX(Sheet1!D28,3)</f>
        <v>1E0</v>
      </c>
      <c r="E24" t="str">
        <f>DEC2HEX(Sheet1!E28,3)</f>
        <v>340</v>
      </c>
      <c r="F24" t="str">
        <f>DEC2HEX(Sheet1!F28,3)</f>
        <v>1C0</v>
      </c>
      <c r="G24" t="str">
        <f>DEC2HEX(Sheet1!G28,3)</f>
        <v>160</v>
      </c>
      <c r="H24" t="str">
        <f>DEC2HEX(Sheet1!H28,3)</f>
        <v>060</v>
      </c>
      <c r="I24" t="str">
        <f>DEC2HEX(Sheet1!I28,3)</f>
        <v>340</v>
      </c>
      <c r="J24" t="str">
        <f>DEC2HEX(Sheet1!J28,3)</f>
        <v>340</v>
      </c>
      <c r="K24" t="str">
        <f>DEC2HEX(Sheet1!K28,3)</f>
        <v>FFFFFFFFD0</v>
      </c>
    </row>
    <row r="25" spans="1:11" x14ac:dyDescent="0.25">
      <c r="A25" t="str">
        <f>DEC2HEX(Sheet1!A29,3)</f>
        <v>01E</v>
      </c>
      <c r="B25" t="str">
        <f>DEC2HEX(Sheet1!B29,3)</f>
        <v>01D</v>
      </c>
      <c r="C25" t="str">
        <f>DEC2HEX(Sheet1!C29,3)</f>
        <v>01B</v>
      </c>
      <c r="D25" t="str">
        <f>DEC2HEX(Sheet1!D29,3)</f>
        <v>013</v>
      </c>
      <c r="E25" t="str">
        <f>DEC2HEX(Sheet1!E29,3)</f>
        <v>014</v>
      </c>
      <c r="F25" t="str">
        <f>DEC2HEX(Sheet1!F29,3)</f>
        <v>008</v>
      </c>
      <c r="G25" t="str">
        <f>DEC2HEX(Sheet1!G29,3)</f>
        <v>01D</v>
      </c>
      <c r="H25" t="str">
        <f>DEC2HEX(Sheet1!H29,3)</f>
        <v>009</v>
      </c>
      <c r="I25" t="str">
        <f>DEC2HEX(Sheet1!I29,3)</f>
        <v>016</v>
      </c>
      <c r="J25" t="str">
        <f>DEC2HEX(Sheet1!J29,3)</f>
        <v>01B</v>
      </c>
      <c r="K25" t="str">
        <f>DEC2HEX(Sheet1!K29,3)</f>
        <v>FFFFFFFFF4</v>
      </c>
    </row>
    <row r="26" spans="1:11" x14ac:dyDescent="0.25">
      <c r="A26" t="str">
        <f>DEC2HEX(Sheet1!A30,3)</f>
        <v>340</v>
      </c>
      <c r="B26" t="str">
        <f>DEC2HEX(Sheet1!B30,3)</f>
        <v>220</v>
      </c>
      <c r="C26" t="str">
        <f>DEC2HEX(Sheet1!C30,3)</f>
        <v>3E0</v>
      </c>
      <c r="D26" t="str">
        <f>DEC2HEX(Sheet1!D30,3)</f>
        <v>2E0</v>
      </c>
      <c r="E26" t="str">
        <f>DEC2HEX(Sheet1!E30,3)</f>
        <v>300</v>
      </c>
      <c r="F26" t="str">
        <f>DEC2HEX(Sheet1!F30,3)</f>
        <v>240</v>
      </c>
      <c r="G26" t="str">
        <f>DEC2HEX(Sheet1!G30,3)</f>
        <v>300</v>
      </c>
      <c r="H26" t="str">
        <f>DEC2HEX(Sheet1!H30,3)</f>
        <v>080</v>
      </c>
      <c r="I26" t="str">
        <f>DEC2HEX(Sheet1!I30,3)</f>
        <v>380</v>
      </c>
      <c r="J26" t="str">
        <f>DEC2HEX(Sheet1!J30,3)</f>
        <v>0C0</v>
      </c>
      <c r="K26" t="str">
        <f>DEC2HEX(Sheet1!K30,3)</f>
        <v>035</v>
      </c>
    </row>
    <row r="27" spans="1:11" x14ac:dyDescent="0.25">
      <c r="A27" t="str">
        <f>DEC2HEX(Sheet1!A31,3)</f>
        <v>006</v>
      </c>
      <c r="B27" t="str">
        <f>DEC2HEX(Sheet1!B31,3)</f>
        <v>01D</v>
      </c>
      <c r="C27" t="str">
        <f>DEC2HEX(Sheet1!C31,3)</f>
        <v>00F</v>
      </c>
      <c r="D27" t="str">
        <f>DEC2HEX(Sheet1!D31,3)</f>
        <v>019</v>
      </c>
      <c r="E27" t="str">
        <f>DEC2HEX(Sheet1!E31,3)</f>
        <v>018</v>
      </c>
      <c r="F27" t="str">
        <f>DEC2HEX(Sheet1!F31,3)</f>
        <v>00E</v>
      </c>
      <c r="G27" t="str">
        <f>DEC2HEX(Sheet1!G31,3)</f>
        <v>00A</v>
      </c>
      <c r="H27" t="str">
        <f>DEC2HEX(Sheet1!H31,3)</f>
        <v>005</v>
      </c>
      <c r="I27" t="str">
        <f>DEC2HEX(Sheet1!I31,3)</f>
        <v>000</v>
      </c>
      <c r="J27" t="str">
        <f>DEC2HEX(Sheet1!J31,3)</f>
        <v>013</v>
      </c>
      <c r="K27" t="str">
        <f>DEC2HEX(Sheet1!K31,3)</f>
        <v>FFFFFFFFFD</v>
      </c>
    </row>
    <row r="28" spans="1:11" x14ac:dyDescent="0.25">
      <c r="A28" t="str">
        <f>DEC2HEX(Sheet1!A32,3)</f>
        <v>260</v>
      </c>
      <c r="B28" t="str">
        <f>DEC2HEX(Sheet1!B32,3)</f>
        <v>320</v>
      </c>
      <c r="C28" t="str">
        <f>DEC2HEX(Sheet1!C32,3)</f>
        <v>240</v>
      </c>
      <c r="D28" t="str">
        <f>DEC2HEX(Sheet1!D32,3)</f>
        <v>000</v>
      </c>
      <c r="E28" t="str">
        <f>DEC2HEX(Sheet1!E32,3)</f>
        <v>1E0</v>
      </c>
      <c r="F28" t="str">
        <f>DEC2HEX(Sheet1!F32,3)</f>
        <v>180</v>
      </c>
      <c r="G28" t="str">
        <f>DEC2HEX(Sheet1!G32,3)</f>
        <v>0C0</v>
      </c>
      <c r="H28" t="str">
        <f>DEC2HEX(Sheet1!H32,3)</f>
        <v>380</v>
      </c>
      <c r="I28" t="str">
        <f>DEC2HEX(Sheet1!I32,3)</f>
        <v>180</v>
      </c>
      <c r="J28" t="str">
        <f>DEC2HEX(Sheet1!J32,3)</f>
        <v>260</v>
      </c>
      <c r="K28" t="str">
        <f>DEC2HEX(Sheet1!K32,3)</f>
        <v>FFFFFFFFFD</v>
      </c>
    </row>
    <row r="29" spans="1:11" x14ac:dyDescent="0.25">
      <c r="A29" t="str">
        <f>DEC2HEX(Sheet1!A33,3)</f>
        <v>015</v>
      </c>
      <c r="B29" t="str">
        <f>DEC2HEX(Sheet1!B33,3)</f>
        <v>00F</v>
      </c>
      <c r="C29" t="str">
        <f>DEC2HEX(Sheet1!C33,3)</f>
        <v>012</v>
      </c>
      <c r="D29" t="str">
        <f>DEC2HEX(Sheet1!D33,3)</f>
        <v>00F</v>
      </c>
      <c r="E29" t="str">
        <f>DEC2HEX(Sheet1!E33,3)</f>
        <v>015</v>
      </c>
      <c r="F29" t="str">
        <f>DEC2HEX(Sheet1!F33,3)</f>
        <v>01D</v>
      </c>
      <c r="G29" t="str">
        <f>DEC2HEX(Sheet1!G33,3)</f>
        <v>007</v>
      </c>
      <c r="H29" t="str">
        <f>DEC2HEX(Sheet1!H33,3)</f>
        <v>00F</v>
      </c>
      <c r="I29" t="str">
        <f>DEC2HEX(Sheet1!I33,3)</f>
        <v>014</v>
      </c>
      <c r="J29" t="str">
        <f>DEC2HEX(Sheet1!J33,3)</f>
        <v>003</v>
      </c>
      <c r="K29" t="str">
        <f>DEC2HEX(Sheet1!K33,3)</f>
        <v>FFFFFFFFEF</v>
      </c>
    </row>
    <row r="30" spans="1:11" x14ac:dyDescent="0.25">
      <c r="A30" t="str">
        <f>DEC2HEX(Sheet1!A34,3)</f>
        <v>180</v>
      </c>
      <c r="B30" t="str">
        <f>DEC2HEX(Sheet1!B34,3)</f>
        <v>000</v>
      </c>
      <c r="C30" t="str">
        <f>DEC2HEX(Sheet1!C34,3)</f>
        <v>020</v>
      </c>
      <c r="D30" t="str">
        <f>DEC2HEX(Sheet1!D34,3)</f>
        <v>040</v>
      </c>
      <c r="E30" t="str">
        <f>DEC2HEX(Sheet1!E34,3)</f>
        <v>040</v>
      </c>
      <c r="F30" t="str">
        <f>DEC2HEX(Sheet1!F34,3)</f>
        <v>180</v>
      </c>
      <c r="G30" t="str">
        <f>DEC2HEX(Sheet1!G34,3)</f>
        <v>220</v>
      </c>
      <c r="H30" t="str">
        <f>DEC2HEX(Sheet1!H34,3)</f>
        <v>320</v>
      </c>
      <c r="I30" t="str">
        <f>DEC2HEX(Sheet1!I34,3)</f>
        <v>0A0</v>
      </c>
      <c r="J30" t="str">
        <f>DEC2HEX(Sheet1!J34,3)</f>
        <v>060</v>
      </c>
      <c r="K30" t="str">
        <f>DEC2HEX(Sheet1!K34,3)</f>
        <v>FFFFFFFFFC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C9D00F-CE9C-4725-A5D4-E0A44238E1F6}">
  <dimension ref="A1:U16"/>
  <sheetViews>
    <sheetView tabSelected="1" topLeftCell="A13" zoomScaleNormal="100" workbookViewId="0">
      <selection activeCell="E18" sqref="E18"/>
    </sheetView>
  </sheetViews>
  <sheetFormatPr defaultRowHeight="15" x14ac:dyDescent="0.25"/>
  <cols>
    <col min="1" max="1" width="12" style="8" customWidth="1"/>
    <col min="2" max="2" width="47.85546875" bestFit="1" customWidth="1"/>
    <col min="3" max="3" width="58.7109375" customWidth="1"/>
    <col min="4" max="4" width="41.42578125" customWidth="1"/>
    <col min="5" max="5" width="35.140625" customWidth="1"/>
    <col min="6" max="6" width="15" customWidth="1"/>
    <col min="7" max="7" width="120.140625" customWidth="1"/>
  </cols>
  <sheetData>
    <row r="1" spans="1:21" x14ac:dyDescent="0.25">
      <c r="U1" t="s">
        <v>36</v>
      </c>
    </row>
    <row r="2" spans="1:21" x14ac:dyDescent="0.25">
      <c r="U2" t="s">
        <v>37</v>
      </c>
    </row>
    <row r="3" spans="1:21" x14ac:dyDescent="0.25">
      <c r="A3" s="8" t="s">
        <v>29</v>
      </c>
      <c r="B3" t="s">
        <v>30</v>
      </c>
      <c r="C3" t="s">
        <v>31</v>
      </c>
      <c r="D3" t="s">
        <v>32</v>
      </c>
      <c r="E3" t="s">
        <v>33</v>
      </c>
      <c r="F3" t="s">
        <v>34</v>
      </c>
      <c r="G3" t="s">
        <v>35</v>
      </c>
      <c r="U3" t="s">
        <v>38</v>
      </c>
    </row>
    <row r="4" spans="1:21" ht="105" x14ac:dyDescent="0.25">
      <c r="A4" s="8" t="s">
        <v>62</v>
      </c>
      <c r="B4" t="s">
        <v>63</v>
      </c>
      <c r="C4" s="9" t="s">
        <v>66</v>
      </c>
      <c r="D4" s="9" t="s">
        <v>67</v>
      </c>
      <c r="E4" s="9" t="s">
        <v>67</v>
      </c>
      <c r="F4" t="s">
        <v>36</v>
      </c>
    </row>
    <row r="5" spans="1:21" ht="75" x14ac:dyDescent="0.25">
      <c r="A5" s="8" t="s">
        <v>64</v>
      </c>
      <c r="B5" t="s">
        <v>65</v>
      </c>
      <c r="C5" s="9" t="s">
        <v>69</v>
      </c>
      <c r="D5" s="9" t="s">
        <v>68</v>
      </c>
      <c r="E5" s="9" t="s">
        <v>68</v>
      </c>
      <c r="F5" t="s">
        <v>36</v>
      </c>
    </row>
    <row r="6" spans="1:21" ht="135" x14ac:dyDescent="0.25">
      <c r="A6" s="8" t="s">
        <v>39</v>
      </c>
      <c r="B6" s="9" t="s">
        <v>40</v>
      </c>
      <c r="C6" s="9" t="s">
        <v>70</v>
      </c>
      <c r="D6" s="9" t="s">
        <v>71</v>
      </c>
      <c r="E6" s="9" t="s">
        <v>71</v>
      </c>
      <c r="F6" t="s">
        <v>36</v>
      </c>
    </row>
    <row r="7" spans="1:21" ht="90" x14ac:dyDescent="0.25">
      <c r="A7" s="8" t="s">
        <v>41</v>
      </c>
      <c r="B7" s="9" t="s">
        <v>42</v>
      </c>
      <c r="C7" s="9" t="s">
        <v>43</v>
      </c>
      <c r="D7" s="9" t="s">
        <v>72</v>
      </c>
      <c r="E7" s="9" t="s">
        <v>72</v>
      </c>
      <c r="F7" t="s">
        <v>36</v>
      </c>
    </row>
    <row r="8" spans="1:21" ht="105" x14ac:dyDescent="0.25">
      <c r="A8" s="8" t="s">
        <v>44</v>
      </c>
      <c r="B8" t="s">
        <v>45</v>
      </c>
      <c r="C8" s="9" t="s">
        <v>73</v>
      </c>
      <c r="D8" s="9" t="s">
        <v>48</v>
      </c>
      <c r="E8" s="9" t="s">
        <v>48</v>
      </c>
      <c r="F8" t="s">
        <v>36</v>
      </c>
    </row>
    <row r="9" spans="1:21" ht="105" x14ac:dyDescent="0.25">
      <c r="A9" s="8" t="s">
        <v>46</v>
      </c>
      <c r="B9" t="s">
        <v>47</v>
      </c>
      <c r="C9" s="9" t="s">
        <v>73</v>
      </c>
      <c r="D9" s="9" t="s">
        <v>74</v>
      </c>
      <c r="E9" s="9" t="s">
        <v>74</v>
      </c>
      <c r="F9" t="s">
        <v>36</v>
      </c>
    </row>
    <row r="10" spans="1:21" ht="45" x14ac:dyDescent="0.25">
      <c r="A10" s="8" t="s">
        <v>49</v>
      </c>
      <c r="B10" s="9" t="s">
        <v>75</v>
      </c>
      <c r="C10" s="9" t="s">
        <v>79</v>
      </c>
      <c r="D10" s="9" t="s">
        <v>80</v>
      </c>
      <c r="E10" s="9" t="s">
        <v>80</v>
      </c>
      <c r="F10" t="s">
        <v>36</v>
      </c>
    </row>
    <row r="11" spans="1:21" ht="45" x14ac:dyDescent="0.25">
      <c r="A11" s="8" t="s">
        <v>50</v>
      </c>
      <c r="B11" s="9" t="s">
        <v>76</v>
      </c>
      <c r="C11" s="9" t="s">
        <v>51</v>
      </c>
      <c r="D11" s="9" t="s">
        <v>81</v>
      </c>
      <c r="E11" s="9" t="s">
        <v>81</v>
      </c>
      <c r="F11" t="s">
        <v>36</v>
      </c>
    </row>
    <row r="12" spans="1:21" ht="210" x14ac:dyDescent="0.25">
      <c r="A12" s="8" t="s">
        <v>52</v>
      </c>
      <c r="B12" s="9" t="s">
        <v>77</v>
      </c>
      <c r="C12" s="9" t="s">
        <v>87</v>
      </c>
      <c r="D12" s="9" t="s">
        <v>88</v>
      </c>
      <c r="E12" s="9" t="s">
        <v>88</v>
      </c>
      <c r="F12" t="s">
        <v>36</v>
      </c>
    </row>
    <row r="13" spans="1:21" ht="150" x14ac:dyDescent="0.25">
      <c r="A13" s="8" t="s">
        <v>53</v>
      </c>
      <c r="B13" s="9" t="s">
        <v>78</v>
      </c>
      <c r="C13" s="9" t="s">
        <v>83</v>
      </c>
      <c r="D13" s="9" t="s">
        <v>84</v>
      </c>
      <c r="E13" s="9" t="s">
        <v>84</v>
      </c>
      <c r="F13" t="s">
        <v>36</v>
      </c>
    </row>
    <row r="14" spans="1:21" ht="150" x14ac:dyDescent="0.25">
      <c r="A14" s="8" t="s">
        <v>54</v>
      </c>
      <c r="B14" s="9" t="s">
        <v>82</v>
      </c>
      <c r="C14" s="9" t="s">
        <v>85</v>
      </c>
      <c r="D14" s="9" t="s">
        <v>86</v>
      </c>
      <c r="E14" s="9" t="s">
        <v>86</v>
      </c>
      <c r="F14" t="s">
        <v>36</v>
      </c>
    </row>
    <row r="15" spans="1:21" ht="45" x14ac:dyDescent="0.25">
      <c r="A15" s="8" t="s">
        <v>55</v>
      </c>
      <c r="B15" s="9" t="s">
        <v>58</v>
      </c>
      <c r="C15" s="9" t="s">
        <v>56</v>
      </c>
      <c r="D15" s="9" t="s">
        <v>57</v>
      </c>
    </row>
    <row r="16" spans="1:21" ht="30" x14ac:dyDescent="0.25">
      <c r="A16" s="8" t="s">
        <v>59</v>
      </c>
      <c r="B16" s="9" t="s">
        <v>60</v>
      </c>
      <c r="C16" s="9" t="s">
        <v>56</v>
      </c>
      <c r="D16" s="9" t="s">
        <v>61</v>
      </c>
    </row>
  </sheetData>
  <conditionalFormatting sqref="F4:F32">
    <cfRule type="expression" dxfId="2" priority="4" stopIfTrue="1">
      <formula>F4="PASS"</formula>
    </cfRule>
    <cfRule type="expression" dxfId="1" priority="5" stopIfTrue="1">
      <formula>F4="NA"</formula>
    </cfRule>
    <cfRule type="expression" dxfId="0" priority="10" stopIfTrue="1">
      <formula>F4="FAIL"</formula>
    </cfRule>
  </conditionalFormatting>
  <dataValidations count="2">
    <dataValidation type="list" allowBlank="1" showInputMessage="1" showErrorMessage="1" sqref="F36:F72" xr:uid="{FBB38C3E-EFB5-4013-A9D1-C98D5FE50625}">
      <formula1>$U$1:$U$6</formula1>
    </dataValidation>
    <dataValidation type="list" allowBlank="1" showInputMessage="1" showErrorMessage="1" sqref="F4:F35" xr:uid="{7BC5E738-F94B-47E1-9A64-55A865C65D5E}">
      <formula1>$U$1:$U$3</formula1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mixer_data_tb</vt:lpstr>
      <vt:lpstr>Sheet1</vt:lpstr>
      <vt:lpstr>Sheet2</vt:lpstr>
      <vt:lpstr>TestCase_Manual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Truong Hoang</dc:creator>
  <cp:lastModifiedBy>Truong Hoang</cp:lastModifiedBy>
  <dcterms:created xsi:type="dcterms:W3CDTF">2020-08-23T10:50:55Z</dcterms:created>
  <dcterms:modified xsi:type="dcterms:W3CDTF">2020-09-12T12:31:07Z</dcterms:modified>
</cp:coreProperties>
</file>