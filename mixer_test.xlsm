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ESM_Master\Semester_2\HW_SW_Co_Dsgn\Report\VHDL\"/>
    </mc:Choice>
  </mc:AlternateContent>
  <xr:revisionPtr revIDLastSave="0" documentId="13_ncr:1_{EBC2F1BF-250D-4833-8A13-C5E24F014081}" xr6:coauthVersionLast="45" xr6:coauthVersionMax="45" xr10:uidLastSave="{00000000-0000-0000-0000-000000000000}"/>
  <bookViews>
    <workbookView xWindow="-120" yWindow="-120" windowWidth="23250" windowHeight="13740" activeTab="3" xr2:uid="{0F8074D4-5A6D-4DD6-A04F-A9DCFD323F46}"/>
  </bookViews>
  <sheets>
    <sheet name="Generation" sheetId="1" r:id="rId1"/>
    <sheet name="Calculation" sheetId="3" r:id="rId2"/>
    <sheet name="TestDatInHex" sheetId="2" r:id="rId3"/>
    <sheet name="TestCase_Manual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N6" i="1" a="1"/>
  <c r="P6" i="1" a="1"/>
  <c r="R6" i="1" a="1"/>
  <c r="T6" i="1" a="1"/>
  <c r="V6" i="1" a="1"/>
  <c r="O6" i="1" a="1"/>
  <c r="Q6" i="1" a="1"/>
  <c r="S6" i="1" a="1"/>
  <c r="U6" i="1" a="1"/>
  <c r="M6" i="1" a="1"/>
  <c r="N12" i="1" a="1"/>
  <c r="N29" i="1" a="1"/>
  <c r="N24" i="1" a="1"/>
  <c r="N41" i="1" a="1"/>
  <c r="N23" i="1" a="1"/>
  <c r="N45" i="1" a="1"/>
  <c r="N27" i="1" a="1"/>
  <c r="N30" i="1" a="1"/>
  <c r="N38" i="1" a="1"/>
  <c r="N32" i="1" a="1"/>
  <c r="N43" i="1" a="1"/>
  <c r="N14" i="1" a="1"/>
  <c r="N19" i="1" a="1"/>
  <c r="N40" i="1" a="1"/>
  <c r="N15" i="1" a="1"/>
  <c r="N35" i="1" a="1"/>
  <c r="N44" i="1" a="1"/>
  <c r="N39" i="1" a="1"/>
  <c r="N9" i="1" a="1"/>
  <c r="N28" i="1" a="1"/>
  <c r="N11" i="1" a="1"/>
  <c r="N31" i="1" a="1"/>
  <c r="N7" i="1" a="1"/>
  <c r="N22" i="1" a="1"/>
  <c r="N34" i="1" a="1"/>
  <c r="N36" i="1" a="1"/>
  <c r="N20" i="1" a="1"/>
  <c r="N16" i="1" a="1"/>
  <c r="N8" i="1" a="1"/>
  <c r="N17" i="1" a="1"/>
  <c r="N13" i="1" a="1"/>
  <c r="N37" i="1" a="1"/>
  <c r="N18" i="1" a="1"/>
  <c r="N21" i="1" a="1"/>
  <c r="N26" i="1" a="1"/>
  <c r="N33" i="1" a="1"/>
  <c r="N42" i="1" a="1"/>
  <c r="N25" i="1" a="1"/>
  <c r="N10" i="1" a="1"/>
  <c r="N38" i="1" l="1"/>
  <c r="N33" i="1"/>
  <c r="N21" i="1"/>
  <c r="N9" i="1"/>
  <c r="N44" i="1"/>
  <c r="N36" i="1"/>
  <c r="N34" i="1"/>
  <c r="N41" i="1"/>
  <c r="N29" i="1"/>
  <c r="N17" i="1"/>
  <c r="N20" i="1"/>
  <c r="N16" i="1"/>
  <c r="N43" i="1"/>
  <c r="N40" i="1"/>
  <c r="N42" i="1"/>
  <c r="N45" i="1"/>
  <c r="N37" i="1"/>
  <c r="N25" i="1"/>
  <c r="N13" i="1"/>
  <c r="N39" i="1"/>
  <c r="N35" i="1"/>
  <c r="N32" i="1"/>
  <c r="N28" i="1"/>
  <c r="N24" i="1"/>
  <c r="N12" i="1"/>
  <c r="N8" i="1"/>
  <c r="N31" i="1"/>
  <c r="N27" i="1"/>
  <c r="N23" i="1"/>
  <c r="N19" i="1"/>
  <c r="N15" i="1"/>
  <c r="N11" i="1"/>
  <c r="N7" i="1"/>
  <c r="N30" i="1"/>
  <c r="N26" i="1"/>
  <c r="N22" i="1"/>
  <c r="N18" i="1"/>
  <c r="N14" i="1"/>
  <c r="N10" i="1"/>
  <c r="U6" i="1"/>
  <c r="S6" i="1"/>
  <c r="Q6" i="1"/>
  <c r="O6" i="1"/>
  <c r="V6" i="1"/>
  <c r="T6" i="1"/>
  <c r="R6" i="1"/>
  <c r="P6" i="1"/>
  <c r="N6" i="1"/>
  <c r="M6" i="1"/>
  <c r="F41" i="2"/>
  <c r="G41" i="2"/>
  <c r="H41" i="2"/>
  <c r="I41" i="2"/>
  <c r="J41" i="2"/>
  <c r="K41" i="2"/>
  <c r="E41" i="2"/>
  <c r="D41" i="2"/>
  <c r="C41" i="2"/>
  <c r="B41" i="2"/>
  <c r="A41" i="2"/>
  <c r="D31" i="2" l="1"/>
  <c r="D32" i="2"/>
  <c r="D33" i="2"/>
  <c r="D34" i="2"/>
  <c r="D35" i="2"/>
  <c r="D36" i="2"/>
  <c r="D37" i="2"/>
  <c r="D38" i="2"/>
  <c r="D39" i="2"/>
  <c r="D40" i="2"/>
  <c r="E31" i="2"/>
  <c r="E32" i="2"/>
  <c r="E33" i="2"/>
  <c r="E34" i="2"/>
  <c r="E35" i="2"/>
  <c r="E36" i="2"/>
  <c r="E37" i="2"/>
  <c r="E38" i="2"/>
  <c r="E39" i="2"/>
  <c r="E40" i="2"/>
  <c r="F31" i="2"/>
  <c r="F32" i="2"/>
  <c r="F33" i="2"/>
  <c r="F34" i="2"/>
  <c r="F35" i="2"/>
  <c r="F36" i="2"/>
  <c r="F37" i="2"/>
  <c r="F38" i="2"/>
  <c r="F39" i="2"/>
  <c r="F40" i="2"/>
  <c r="G31" i="2"/>
  <c r="G32" i="2"/>
  <c r="G33" i="2"/>
  <c r="G34" i="2"/>
  <c r="G35" i="2"/>
  <c r="G36" i="2"/>
  <c r="G37" i="2"/>
  <c r="G38" i="2"/>
  <c r="G39" i="2"/>
  <c r="G40" i="2"/>
  <c r="H31" i="2"/>
  <c r="H32" i="2"/>
  <c r="H33" i="2"/>
  <c r="H34" i="2"/>
  <c r="H35" i="2"/>
  <c r="H36" i="2"/>
  <c r="H37" i="2"/>
  <c r="H38" i="2"/>
  <c r="H39" i="2"/>
  <c r="H40" i="2"/>
  <c r="I31" i="2"/>
  <c r="I32" i="2"/>
  <c r="I33" i="2"/>
  <c r="I34" i="2"/>
  <c r="I35" i="2"/>
  <c r="I36" i="2"/>
  <c r="I37" i="2"/>
  <c r="I38" i="2"/>
  <c r="I39" i="2"/>
  <c r="I40" i="2"/>
  <c r="J31" i="2"/>
  <c r="J32" i="2"/>
  <c r="J33" i="2"/>
  <c r="J34" i="2"/>
  <c r="J35" i="2"/>
  <c r="J36" i="2"/>
  <c r="J37" i="2"/>
  <c r="J38" i="2"/>
  <c r="J39" i="2"/>
  <c r="J40" i="2"/>
  <c r="K31" i="2"/>
  <c r="K32" i="2"/>
  <c r="K33" i="2"/>
  <c r="K34" i="2"/>
  <c r="K35" i="2"/>
  <c r="K36" i="2"/>
  <c r="K37" i="2"/>
  <c r="K38" i="2"/>
  <c r="K39" i="2"/>
  <c r="K40" i="2"/>
  <c r="K21" i="2"/>
  <c r="K22" i="2"/>
  <c r="K23" i="2"/>
  <c r="K24" i="2"/>
  <c r="K25" i="2"/>
  <c r="K26" i="2"/>
  <c r="K27" i="2"/>
  <c r="K28" i="2"/>
  <c r="K29" i="2"/>
  <c r="K30" i="2"/>
  <c r="E30" i="2"/>
  <c r="F30" i="2"/>
  <c r="G30" i="2"/>
  <c r="H30" i="2"/>
  <c r="I30" i="2"/>
  <c r="J30" i="2"/>
  <c r="C31" i="2"/>
  <c r="C32" i="2"/>
  <c r="C33" i="2"/>
  <c r="C34" i="2"/>
  <c r="C35" i="2"/>
  <c r="C36" i="2"/>
  <c r="C37" i="2"/>
  <c r="C38" i="2"/>
  <c r="C39" i="2"/>
  <c r="C40" i="2"/>
  <c r="B31" i="2"/>
  <c r="B32" i="2"/>
  <c r="B33" i="2"/>
  <c r="B34" i="2"/>
  <c r="B35" i="2"/>
  <c r="B36" i="2"/>
  <c r="B37" i="2"/>
  <c r="B38" i="2"/>
  <c r="B39" i="2"/>
  <c r="B40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A31" i="2"/>
  <c r="A32" i="2"/>
  <c r="A33" i="2"/>
  <c r="A34" i="2"/>
  <c r="A35" i="2"/>
  <c r="A36" i="2"/>
  <c r="A37" i="2"/>
  <c r="A38" i="2"/>
  <c r="A39" i="2"/>
  <c r="A40" i="2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6" i="1"/>
  <c r="A7" i="1"/>
  <c r="M7" i="1" a="1"/>
  <c r="M7" i="1" l="1"/>
  <c r="S2" i="3"/>
  <c r="T2" i="3"/>
  <c r="U2" i="3" s="1"/>
  <c r="V2" i="3" s="1"/>
  <c r="C2" i="3"/>
  <c r="D2" i="3" s="1"/>
  <c r="E2" i="3" s="1"/>
  <c r="F2" i="3" s="1"/>
  <c r="G2" i="3" s="1"/>
  <c r="H2" i="3" s="1"/>
  <c r="I2" i="3" s="1"/>
  <c r="J2" i="3" s="1"/>
  <c r="K2" i="3" s="1"/>
  <c r="L2" i="3" s="1"/>
  <c r="M2" i="3" s="1"/>
  <c r="N2" i="3" s="1"/>
  <c r="O2" i="3" s="1"/>
  <c r="P2" i="3" s="1"/>
  <c r="Q2" i="3" s="1"/>
  <c r="R2" i="3" s="1"/>
  <c r="B2" i="3"/>
  <c r="A22" i="2" l="1"/>
  <c r="C22" i="2"/>
  <c r="D22" i="2"/>
  <c r="E22" i="2"/>
  <c r="F22" i="2"/>
  <c r="G22" i="2"/>
  <c r="H22" i="2"/>
  <c r="I22" i="2"/>
  <c r="J22" i="2"/>
  <c r="A23" i="2"/>
  <c r="C23" i="2"/>
  <c r="D23" i="2"/>
  <c r="E23" i="2"/>
  <c r="F23" i="2"/>
  <c r="G23" i="2"/>
  <c r="H23" i="2"/>
  <c r="I23" i="2"/>
  <c r="J23" i="2"/>
  <c r="A24" i="2"/>
  <c r="C24" i="2"/>
  <c r="D24" i="2"/>
  <c r="E24" i="2"/>
  <c r="F24" i="2"/>
  <c r="G24" i="2"/>
  <c r="H24" i="2"/>
  <c r="I24" i="2"/>
  <c r="J24" i="2"/>
  <c r="A25" i="2"/>
  <c r="C25" i="2"/>
  <c r="D25" i="2"/>
  <c r="E25" i="2"/>
  <c r="F25" i="2"/>
  <c r="G25" i="2"/>
  <c r="H25" i="2"/>
  <c r="I25" i="2"/>
  <c r="J25" i="2"/>
  <c r="A26" i="2"/>
  <c r="C26" i="2"/>
  <c r="D26" i="2"/>
  <c r="E26" i="2"/>
  <c r="F26" i="2"/>
  <c r="G26" i="2"/>
  <c r="H26" i="2"/>
  <c r="I26" i="2"/>
  <c r="J26" i="2"/>
  <c r="A27" i="2"/>
  <c r="C27" i="2"/>
  <c r="D27" i="2"/>
  <c r="E27" i="2"/>
  <c r="F27" i="2"/>
  <c r="G27" i="2"/>
  <c r="H27" i="2"/>
  <c r="I27" i="2"/>
  <c r="J27" i="2"/>
  <c r="A28" i="2"/>
  <c r="C28" i="2"/>
  <c r="D28" i="2"/>
  <c r="E28" i="2"/>
  <c r="F28" i="2"/>
  <c r="G28" i="2"/>
  <c r="H28" i="2"/>
  <c r="I28" i="2"/>
  <c r="J28" i="2"/>
  <c r="A29" i="2"/>
  <c r="C29" i="2"/>
  <c r="D29" i="2"/>
  <c r="E29" i="2"/>
  <c r="F29" i="2"/>
  <c r="G29" i="2"/>
  <c r="H29" i="2"/>
  <c r="I29" i="2"/>
  <c r="J29" i="2"/>
  <c r="A30" i="2"/>
  <c r="C30" i="2"/>
  <c r="D30" i="2"/>
  <c r="C21" i="2"/>
  <c r="D21" i="2"/>
  <c r="E21" i="2"/>
  <c r="F21" i="2"/>
  <c r="G21" i="2"/>
  <c r="H21" i="2"/>
  <c r="I21" i="2"/>
  <c r="J21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" i="2"/>
  <c r="A3" i="2"/>
  <c r="C3" i="2"/>
  <c r="D3" i="2"/>
  <c r="E3" i="2"/>
  <c r="F3" i="2"/>
  <c r="G3" i="2"/>
  <c r="H3" i="2"/>
  <c r="I3" i="2"/>
  <c r="J3" i="2"/>
  <c r="A4" i="2"/>
  <c r="C4" i="2"/>
  <c r="D4" i="2"/>
  <c r="E4" i="2"/>
  <c r="F4" i="2"/>
  <c r="G4" i="2"/>
  <c r="H4" i="2"/>
  <c r="I4" i="2"/>
  <c r="J4" i="2"/>
  <c r="A5" i="2"/>
  <c r="C5" i="2"/>
  <c r="D5" i="2"/>
  <c r="E5" i="2"/>
  <c r="F5" i="2"/>
  <c r="G5" i="2"/>
  <c r="H5" i="2"/>
  <c r="I5" i="2"/>
  <c r="J5" i="2"/>
  <c r="A6" i="2"/>
  <c r="C6" i="2"/>
  <c r="D6" i="2"/>
  <c r="E6" i="2"/>
  <c r="F6" i="2"/>
  <c r="G6" i="2"/>
  <c r="H6" i="2"/>
  <c r="I6" i="2"/>
  <c r="J6" i="2"/>
  <c r="A7" i="2"/>
  <c r="C7" i="2"/>
  <c r="D7" i="2"/>
  <c r="E7" i="2"/>
  <c r="F7" i="2"/>
  <c r="G7" i="2"/>
  <c r="H7" i="2"/>
  <c r="I7" i="2"/>
  <c r="J7" i="2"/>
  <c r="A8" i="2"/>
  <c r="C8" i="2"/>
  <c r="D8" i="2"/>
  <c r="E8" i="2"/>
  <c r="F8" i="2"/>
  <c r="G8" i="2"/>
  <c r="H8" i="2"/>
  <c r="I8" i="2"/>
  <c r="J8" i="2"/>
  <c r="A9" i="2"/>
  <c r="C9" i="2"/>
  <c r="D9" i="2"/>
  <c r="E9" i="2"/>
  <c r="F9" i="2"/>
  <c r="G9" i="2"/>
  <c r="H9" i="2"/>
  <c r="I9" i="2"/>
  <c r="J9" i="2"/>
  <c r="A10" i="2"/>
  <c r="C10" i="2"/>
  <c r="D10" i="2"/>
  <c r="E10" i="2"/>
  <c r="F10" i="2"/>
  <c r="G10" i="2"/>
  <c r="H10" i="2"/>
  <c r="I10" i="2"/>
  <c r="J10" i="2"/>
  <c r="A11" i="2"/>
  <c r="C11" i="2"/>
  <c r="D11" i="2"/>
  <c r="E11" i="2"/>
  <c r="F11" i="2"/>
  <c r="G11" i="2"/>
  <c r="H11" i="2"/>
  <c r="I11" i="2"/>
  <c r="J11" i="2"/>
  <c r="A12" i="2"/>
  <c r="C12" i="2"/>
  <c r="D12" i="2"/>
  <c r="E12" i="2"/>
  <c r="F12" i="2"/>
  <c r="G12" i="2"/>
  <c r="H12" i="2"/>
  <c r="I12" i="2"/>
  <c r="J12" i="2"/>
  <c r="A13" i="2"/>
  <c r="C13" i="2"/>
  <c r="D13" i="2"/>
  <c r="E13" i="2"/>
  <c r="F13" i="2"/>
  <c r="G13" i="2"/>
  <c r="H13" i="2"/>
  <c r="I13" i="2"/>
  <c r="J13" i="2"/>
  <c r="A14" i="2"/>
  <c r="C14" i="2"/>
  <c r="D14" i="2"/>
  <c r="E14" i="2"/>
  <c r="F14" i="2"/>
  <c r="G14" i="2"/>
  <c r="H14" i="2"/>
  <c r="I14" i="2"/>
  <c r="J14" i="2"/>
  <c r="A15" i="2"/>
  <c r="C15" i="2"/>
  <c r="D15" i="2"/>
  <c r="E15" i="2"/>
  <c r="F15" i="2"/>
  <c r="G15" i="2"/>
  <c r="H15" i="2"/>
  <c r="I15" i="2"/>
  <c r="J15" i="2"/>
  <c r="A16" i="2"/>
  <c r="C16" i="2"/>
  <c r="D16" i="2"/>
  <c r="E16" i="2"/>
  <c r="F16" i="2"/>
  <c r="G16" i="2"/>
  <c r="H16" i="2"/>
  <c r="I16" i="2"/>
  <c r="J16" i="2"/>
  <c r="A17" i="2"/>
  <c r="C17" i="2"/>
  <c r="D17" i="2"/>
  <c r="E17" i="2"/>
  <c r="F17" i="2"/>
  <c r="G17" i="2"/>
  <c r="H17" i="2"/>
  <c r="I17" i="2"/>
  <c r="J17" i="2"/>
  <c r="A18" i="2"/>
  <c r="C18" i="2"/>
  <c r="D18" i="2"/>
  <c r="E18" i="2"/>
  <c r="F18" i="2"/>
  <c r="G18" i="2"/>
  <c r="H18" i="2"/>
  <c r="I18" i="2"/>
  <c r="J18" i="2"/>
  <c r="A19" i="2"/>
  <c r="C19" i="2"/>
  <c r="D19" i="2"/>
  <c r="E19" i="2"/>
  <c r="F19" i="2"/>
  <c r="G19" i="2"/>
  <c r="H19" i="2"/>
  <c r="I19" i="2"/>
  <c r="J19" i="2"/>
  <c r="A20" i="2"/>
  <c r="C20" i="2"/>
  <c r="D20" i="2"/>
  <c r="E20" i="2"/>
  <c r="F20" i="2"/>
  <c r="G20" i="2"/>
  <c r="H20" i="2"/>
  <c r="I20" i="2"/>
  <c r="J20" i="2"/>
  <c r="A21" i="2"/>
  <c r="B2" i="2"/>
  <c r="C2" i="2"/>
  <c r="D2" i="2"/>
  <c r="E2" i="2"/>
  <c r="F2" i="2"/>
  <c r="G2" i="2"/>
  <c r="H2" i="2"/>
  <c r="I2" i="2"/>
  <c r="J2" i="2"/>
  <c r="A2" i="2"/>
  <c r="J45" i="1"/>
  <c r="I45" i="1"/>
  <c r="H45" i="1"/>
  <c r="G45" i="1"/>
  <c r="F45" i="1"/>
  <c r="E45" i="1"/>
  <c r="D45" i="1"/>
  <c r="C45" i="1"/>
  <c r="J44" i="1"/>
  <c r="I44" i="1"/>
  <c r="H44" i="1"/>
  <c r="G44" i="1"/>
  <c r="F44" i="1"/>
  <c r="E44" i="1"/>
  <c r="D44" i="1"/>
  <c r="C44" i="1"/>
  <c r="J43" i="1"/>
  <c r="I43" i="1"/>
  <c r="H43" i="1"/>
  <c r="G43" i="1"/>
  <c r="F43" i="1"/>
  <c r="E43" i="1"/>
  <c r="D43" i="1"/>
  <c r="C43" i="1"/>
  <c r="J42" i="1"/>
  <c r="I42" i="1"/>
  <c r="H42" i="1"/>
  <c r="G42" i="1"/>
  <c r="F42" i="1"/>
  <c r="E42" i="1"/>
  <c r="D42" i="1"/>
  <c r="C42" i="1"/>
  <c r="J41" i="1"/>
  <c r="I41" i="1"/>
  <c r="H41" i="1"/>
  <c r="G41" i="1"/>
  <c r="F41" i="1"/>
  <c r="E41" i="1"/>
  <c r="D41" i="1"/>
  <c r="C41" i="1"/>
  <c r="J40" i="1"/>
  <c r="I40" i="1"/>
  <c r="H40" i="1"/>
  <c r="G40" i="1"/>
  <c r="F40" i="1"/>
  <c r="E40" i="1"/>
  <c r="D40" i="1"/>
  <c r="C40" i="1"/>
  <c r="J39" i="1"/>
  <c r="I39" i="1"/>
  <c r="H39" i="1"/>
  <c r="G39" i="1"/>
  <c r="F39" i="1"/>
  <c r="E39" i="1"/>
  <c r="D39" i="1"/>
  <c r="C39" i="1"/>
  <c r="J38" i="1"/>
  <c r="I38" i="1"/>
  <c r="H38" i="1"/>
  <c r="G38" i="1"/>
  <c r="F38" i="1"/>
  <c r="E38" i="1"/>
  <c r="D38" i="1"/>
  <c r="C38" i="1"/>
  <c r="J37" i="1"/>
  <c r="I37" i="1"/>
  <c r="H37" i="1"/>
  <c r="G37" i="1"/>
  <c r="F37" i="1"/>
  <c r="E37" i="1"/>
  <c r="D37" i="1"/>
  <c r="C37" i="1"/>
  <c r="J36" i="1"/>
  <c r="I36" i="1"/>
  <c r="H36" i="1"/>
  <c r="G36" i="1"/>
  <c r="F36" i="1"/>
  <c r="E36" i="1"/>
  <c r="D36" i="1"/>
  <c r="C36" i="1"/>
  <c r="J35" i="1"/>
  <c r="I35" i="1"/>
  <c r="H35" i="1"/>
  <c r="G35" i="1"/>
  <c r="F35" i="1"/>
  <c r="E35" i="1"/>
  <c r="D35" i="1"/>
  <c r="C35" i="1"/>
  <c r="J34" i="1"/>
  <c r="I34" i="1"/>
  <c r="H34" i="1"/>
  <c r="G34" i="1"/>
  <c r="F34" i="1"/>
  <c r="E34" i="1"/>
  <c r="D34" i="1"/>
  <c r="C34" i="1"/>
  <c r="J33" i="1"/>
  <c r="I33" i="1"/>
  <c r="H33" i="1"/>
  <c r="G33" i="1"/>
  <c r="F33" i="1"/>
  <c r="E33" i="1"/>
  <c r="D33" i="1"/>
  <c r="C33" i="1"/>
  <c r="J32" i="1"/>
  <c r="I32" i="1"/>
  <c r="H32" i="1"/>
  <c r="G32" i="1"/>
  <c r="F32" i="1"/>
  <c r="E32" i="1"/>
  <c r="D32" i="1"/>
  <c r="C32" i="1"/>
  <c r="J31" i="1"/>
  <c r="I31" i="1"/>
  <c r="H31" i="1"/>
  <c r="G31" i="1"/>
  <c r="F31" i="1"/>
  <c r="E31" i="1"/>
  <c r="D31" i="1"/>
  <c r="C31" i="1"/>
  <c r="J30" i="1"/>
  <c r="I30" i="1"/>
  <c r="H30" i="1"/>
  <c r="G30" i="1"/>
  <c r="F30" i="1"/>
  <c r="E30" i="1"/>
  <c r="D30" i="1"/>
  <c r="C30" i="1"/>
  <c r="J29" i="1"/>
  <c r="I29" i="1"/>
  <c r="H29" i="1"/>
  <c r="G29" i="1"/>
  <c r="F29" i="1"/>
  <c r="E29" i="1"/>
  <c r="D29" i="1"/>
  <c r="C29" i="1"/>
  <c r="J28" i="1"/>
  <c r="I28" i="1"/>
  <c r="H28" i="1"/>
  <c r="G28" i="1"/>
  <c r="F28" i="1"/>
  <c r="E28" i="1"/>
  <c r="D28" i="1"/>
  <c r="C28" i="1"/>
  <c r="J27" i="1"/>
  <c r="I27" i="1"/>
  <c r="H27" i="1"/>
  <c r="G27" i="1"/>
  <c r="F27" i="1"/>
  <c r="E27" i="1"/>
  <c r="D27" i="1"/>
  <c r="C27" i="1"/>
  <c r="J26" i="1"/>
  <c r="I26" i="1"/>
  <c r="H26" i="1"/>
  <c r="G26" i="1"/>
  <c r="F26" i="1"/>
  <c r="E26" i="1"/>
  <c r="D26" i="1"/>
  <c r="C26" i="1"/>
  <c r="J25" i="1"/>
  <c r="I25" i="1"/>
  <c r="H25" i="1"/>
  <c r="G25" i="1"/>
  <c r="F25" i="1"/>
  <c r="E25" i="1"/>
  <c r="D25" i="1"/>
  <c r="C25" i="1"/>
  <c r="J24" i="1"/>
  <c r="I24" i="1"/>
  <c r="H24" i="1"/>
  <c r="G24" i="1"/>
  <c r="F24" i="1"/>
  <c r="E24" i="1"/>
  <c r="D24" i="1"/>
  <c r="C24" i="1"/>
  <c r="J23" i="1"/>
  <c r="I23" i="1"/>
  <c r="H23" i="1"/>
  <c r="G23" i="1"/>
  <c r="F23" i="1"/>
  <c r="E23" i="1"/>
  <c r="D23" i="1"/>
  <c r="C23" i="1"/>
  <c r="J22" i="1"/>
  <c r="I22" i="1"/>
  <c r="H22" i="1"/>
  <c r="G22" i="1"/>
  <c r="F22" i="1"/>
  <c r="E22" i="1"/>
  <c r="D22" i="1"/>
  <c r="C22" i="1"/>
  <c r="J21" i="1"/>
  <c r="I21" i="1"/>
  <c r="H21" i="1"/>
  <c r="G21" i="1"/>
  <c r="F21" i="1"/>
  <c r="E21" i="1"/>
  <c r="D21" i="1"/>
  <c r="C21" i="1"/>
  <c r="J20" i="1"/>
  <c r="I20" i="1"/>
  <c r="H20" i="1"/>
  <c r="G20" i="1"/>
  <c r="F20" i="1"/>
  <c r="E20" i="1"/>
  <c r="D20" i="1"/>
  <c r="C20" i="1"/>
  <c r="J19" i="1"/>
  <c r="I19" i="1"/>
  <c r="H19" i="1"/>
  <c r="G19" i="1"/>
  <c r="F19" i="1"/>
  <c r="E19" i="1"/>
  <c r="D19" i="1"/>
  <c r="C19" i="1"/>
  <c r="J18" i="1"/>
  <c r="I18" i="1"/>
  <c r="H18" i="1"/>
  <c r="G18" i="1"/>
  <c r="F18" i="1"/>
  <c r="E18" i="1"/>
  <c r="D18" i="1"/>
  <c r="C18" i="1"/>
  <c r="J17" i="1"/>
  <c r="I17" i="1"/>
  <c r="H17" i="1"/>
  <c r="G17" i="1"/>
  <c r="F17" i="1"/>
  <c r="E17" i="1"/>
  <c r="D17" i="1"/>
  <c r="C17" i="1"/>
  <c r="J16" i="1"/>
  <c r="I16" i="1"/>
  <c r="H16" i="1"/>
  <c r="G16" i="1"/>
  <c r="F16" i="1"/>
  <c r="E16" i="1"/>
  <c r="D16" i="1"/>
  <c r="C16" i="1"/>
  <c r="J15" i="1"/>
  <c r="I15" i="1"/>
  <c r="H15" i="1"/>
  <c r="G15" i="1"/>
  <c r="F15" i="1"/>
  <c r="E15" i="1"/>
  <c r="D15" i="1"/>
  <c r="C15" i="1"/>
  <c r="J14" i="1"/>
  <c r="I14" i="1"/>
  <c r="H14" i="1"/>
  <c r="G14" i="1"/>
  <c r="F14" i="1"/>
  <c r="E14" i="1"/>
  <c r="D14" i="1"/>
  <c r="C14" i="1"/>
  <c r="J13" i="1"/>
  <c r="I13" i="1"/>
  <c r="H13" i="1"/>
  <c r="G13" i="1"/>
  <c r="F13" i="1"/>
  <c r="E13" i="1"/>
  <c r="D13" i="1"/>
  <c r="C13" i="1"/>
  <c r="J12" i="1"/>
  <c r="I12" i="1"/>
  <c r="H12" i="1"/>
  <c r="G12" i="1"/>
  <c r="F12" i="1"/>
  <c r="E12" i="1"/>
  <c r="D12" i="1"/>
  <c r="C12" i="1"/>
  <c r="J11" i="1"/>
  <c r="I11" i="1"/>
  <c r="H11" i="1"/>
  <c r="G11" i="1"/>
  <c r="F11" i="1"/>
  <c r="E11" i="1"/>
  <c r="D11" i="1"/>
  <c r="C11" i="1"/>
  <c r="J10" i="1"/>
  <c r="I10" i="1"/>
  <c r="H10" i="1"/>
  <c r="G10" i="1"/>
  <c r="F10" i="1"/>
  <c r="E10" i="1"/>
  <c r="D10" i="1"/>
  <c r="C10" i="1"/>
  <c r="J9" i="1"/>
  <c r="I9" i="1"/>
  <c r="H9" i="1"/>
  <c r="G9" i="1"/>
  <c r="F9" i="1"/>
  <c r="E9" i="1"/>
  <c r="D9" i="1"/>
  <c r="C9" i="1"/>
  <c r="J8" i="1"/>
  <c r="I8" i="1"/>
  <c r="H8" i="1"/>
  <c r="G8" i="1"/>
  <c r="F8" i="1"/>
  <c r="E8" i="1"/>
  <c r="D8" i="1"/>
  <c r="C8" i="1"/>
  <c r="J7" i="1"/>
  <c r="I7" i="1"/>
  <c r="H7" i="1"/>
  <c r="G7" i="1"/>
  <c r="F7" i="1"/>
  <c r="E7" i="1"/>
  <c r="D7" i="1"/>
  <c r="C7" i="1"/>
  <c r="A8" i="1"/>
  <c r="A27" i="1"/>
  <c r="A11" i="1"/>
  <c r="A15" i="1"/>
  <c r="A44" i="1"/>
  <c r="A23" i="1"/>
  <c r="A21" i="1"/>
  <c r="A19" i="1"/>
  <c r="A17" i="1"/>
  <c r="A45" i="1"/>
  <c r="A43" i="1"/>
  <c r="A41" i="1"/>
  <c r="A39" i="1"/>
  <c r="A37" i="1"/>
  <c r="A35" i="1"/>
  <c r="A33" i="1"/>
  <c r="A31" i="1"/>
  <c r="A29" i="1"/>
  <c r="A25" i="1"/>
  <c r="A13" i="1"/>
  <c r="A9" i="1"/>
  <c r="U45" i="1" a="1"/>
  <c r="U37" i="1" a="1"/>
  <c r="U29" i="1" a="1"/>
  <c r="U21" i="1" a="1"/>
  <c r="U13" i="1" a="1"/>
  <c r="M45" i="1" a="1"/>
  <c r="S31" i="1" a="1"/>
  <c r="O15" i="1" a="1"/>
  <c r="T43" i="1" a="1"/>
  <c r="T35" i="1" a="1"/>
  <c r="T27" i="1" a="1"/>
  <c r="T19" i="1" a="1"/>
  <c r="T11" i="1" a="1"/>
  <c r="S44" i="1" a="1"/>
  <c r="O29" i="1" a="1"/>
  <c r="S13" i="1" a="1"/>
  <c r="O12" i="1" a="1"/>
  <c r="Q42" i="1" a="1"/>
  <c r="Q18" i="1" a="1"/>
  <c r="O41" i="1" a="1"/>
  <c r="S7" i="1" a="1"/>
  <c r="P36" i="1" a="1"/>
  <c r="P18" i="1" a="1"/>
  <c r="O30" i="1" a="1"/>
  <c r="Q43" i="1" a="1"/>
  <c r="Q35" i="1" a="1"/>
  <c r="Q27" i="1" a="1"/>
  <c r="Q19" i="1" a="1"/>
  <c r="Q11" i="1" a="1"/>
  <c r="O43" i="1" a="1"/>
  <c r="O26" i="1" a="1"/>
  <c r="S9" i="1" a="1"/>
  <c r="P41" i="1" a="1"/>
  <c r="P33" i="1" a="1"/>
  <c r="P25" i="1" a="1"/>
  <c r="P17" i="1" a="1"/>
  <c r="P9" i="1" a="1"/>
  <c r="S39" i="1" a="1"/>
  <c r="S24" i="1" a="1"/>
  <c r="O9" i="1" a="1"/>
  <c r="M25" i="1" a="1"/>
  <c r="O8" i="1" a="1"/>
  <c r="Q28" i="1" a="1"/>
  <c r="S37" i="1" a="1"/>
  <c r="U44" i="1" a="1"/>
  <c r="U36" i="1" a="1"/>
  <c r="U28" i="1" a="1"/>
  <c r="U20" i="1" a="1"/>
  <c r="U12" i="1" a="1"/>
  <c r="M29" i="1" a="1"/>
  <c r="S29" i="1" a="1"/>
  <c r="S12" i="1" a="1"/>
  <c r="T40" i="1" a="1"/>
  <c r="T32" i="1" a="1"/>
  <c r="T24" i="1" a="1"/>
  <c r="T16" i="1" a="1"/>
  <c r="S42" i="1" a="1"/>
  <c r="M13" i="1" a="1"/>
  <c r="Q38" i="1" a="1"/>
  <c r="Q16" i="1" a="1"/>
  <c r="O37" i="1" a="1"/>
  <c r="P34" i="1" a="1"/>
  <c r="P16" i="1" a="1"/>
  <c r="O34" i="1" a="1"/>
  <c r="R35" i="1" a="1"/>
  <c r="R21" i="1" a="1"/>
  <c r="R13" i="1" a="1"/>
  <c r="M44" i="1" a="1"/>
  <c r="U15" i="1" a="1"/>
  <c r="T37" i="1" a="1"/>
  <c r="T13" i="1" a="1"/>
  <c r="O31" i="1" a="1"/>
  <c r="Q44" i="1" a="1"/>
  <c r="O16" i="1" a="1"/>
  <c r="Q45" i="1" a="1"/>
  <c r="Q21" i="1" a="1"/>
  <c r="O14" i="1" a="1"/>
  <c r="P19" i="1" a="1"/>
  <c r="T8" i="1" a="1"/>
  <c r="R34" i="1" a="1"/>
  <c r="V9" i="1" a="1"/>
  <c r="V28" i="1" a="1"/>
  <c r="U14" i="1" a="1"/>
  <c r="T42" i="1" a="1"/>
  <c r="T18" i="1" a="1"/>
  <c r="V34" i="1" a="1"/>
  <c r="S45" i="1" a="1"/>
  <c r="S41" i="1" a="1"/>
  <c r="V32" i="1" a="1"/>
  <c r="U43" i="1" a="1"/>
  <c r="U35" i="1" a="1"/>
  <c r="U27" i="1" a="1"/>
  <c r="U19" i="1" a="1"/>
  <c r="U11" i="1" a="1"/>
  <c r="O44" i="1" a="1"/>
  <c r="S27" i="1" a="1"/>
  <c r="S10" i="1" a="1"/>
  <c r="T41" i="1" a="1"/>
  <c r="T33" i="1" a="1"/>
  <c r="T25" i="1" a="1"/>
  <c r="T17" i="1" a="1"/>
  <c r="T9" i="1" a="1"/>
  <c r="S40" i="1" a="1"/>
  <c r="S25" i="1" a="1"/>
  <c r="O10" i="1" a="1"/>
  <c r="Q36" i="1" a="1"/>
  <c r="Q14" i="1" a="1"/>
  <c r="S32" i="1" a="1"/>
  <c r="P32" i="1" a="1"/>
  <c r="P12" i="1" a="1"/>
  <c r="S18" i="1" a="1"/>
  <c r="Q41" i="1" a="1"/>
  <c r="Q33" i="1" a="1"/>
  <c r="Q25" i="1" a="1"/>
  <c r="Q17" i="1" a="1"/>
  <c r="Q9" i="1" a="1"/>
  <c r="O39" i="1" a="1"/>
  <c r="O22" i="1" a="1"/>
  <c r="M41" i="1" a="1"/>
  <c r="P39" i="1" a="1"/>
  <c r="P31" i="1" a="1"/>
  <c r="P23" i="1" a="1"/>
  <c r="P15" i="1" a="1"/>
  <c r="P7" i="1" a="1"/>
  <c r="S35" i="1" a="1"/>
  <c r="S20" i="1" a="1"/>
  <c r="M33" i="1" a="1"/>
  <c r="S38" i="1" a="1"/>
  <c r="Q22" i="1" a="1"/>
  <c r="S22" i="1" a="1"/>
  <c r="U42" i="1" a="1"/>
  <c r="U34" i="1" a="1"/>
  <c r="U26" i="1" a="1"/>
  <c r="U18" i="1" a="1"/>
  <c r="U10" i="1" a="1"/>
  <c r="O42" i="1" a="1"/>
  <c r="O25" i="1" a="1"/>
  <c r="S8" i="1" a="1"/>
  <c r="T38" i="1" a="1"/>
  <c r="T30" i="1" a="1"/>
  <c r="T22" i="1" a="1"/>
  <c r="T12" i="1" a="1"/>
  <c r="O35" i="1" a="1"/>
  <c r="Q32" i="1" a="1"/>
  <c r="Q12" i="1" a="1"/>
  <c r="S28" i="1" a="1"/>
  <c r="P30" i="1" a="1"/>
  <c r="P14" i="1" a="1"/>
  <c r="S26" i="1" a="1"/>
  <c r="V33" i="1" a="1"/>
  <c r="V26" i="1" a="1"/>
  <c r="V12" i="1" a="1"/>
  <c r="R8" i="1" a="1"/>
  <c r="U31" i="1" a="1"/>
  <c r="O36" i="1" a="1"/>
  <c r="O19" i="1" a="1"/>
  <c r="T21" i="1" a="1"/>
  <c r="O33" i="1" a="1"/>
  <c r="S17" i="1" a="1"/>
  <c r="R19" i="1" a="1"/>
  <c r="M23" i="1" a="1"/>
  <c r="P22" i="1" a="1"/>
  <c r="Q37" i="1" a="1"/>
  <c r="Q13" i="1" a="1"/>
  <c r="S30" i="1" a="1"/>
  <c r="P35" i="1" a="1"/>
  <c r="P11" i="1" a="1"/>
  <c r="O28" i="1" a="1"/>
  <c r="S19" i="1" a="1"/>
  <c r="R26" i="1" a="1"/>
  <c r="V16" i="1" a="1"/>
  <c r="M21" i="1" a="1"/>
  <c r="U30" i="1" a="1"/>
  <c r="M27" i="1" a="1"/>
  <c r="O17" i="1" a="1"/>
  <c r="T26" i="1" a="1"/>
  <c r="S15" i="1" a="1"/>
  <c r="R14" i="1" a="1"/>
  <c r="Q20" i="1" a="1"/>
  <c r="P38" i="1" a="1"/>
  <c r="R44" i="1" a="1"/>
  <c r="V44" i="1" a="1"/>
  <c r="U41" i="1" a="1"/>
  <c r="U33" i="1" a="1"/>
  <c r="U25" i="1" a="1"/>
  <c r="U17" i="1" a="1"/>
  <c r="U9" i="1" a="1"/>
  <c r="O40" i="1" a="1"/>
  <c r="O23" i="1" a="1"/>
  <c r="M15" i="1" a="1"/>
  <c r="T39" i="1" a="1"/>
  <c r="T31" i="1" a="1"/>
  <c r="T23" i="1" a="1"/>
  <c r="T15" i="1" a="1"/>
  <c r="T7" i="1" a="1"/>
  <c r="S36" i="1" a="1"/>
  <c r="S21" i="1" a="1"/>
  <c r="M19" i="1" a="1"/>
  <c r="Q30" i="1" a="1"/>
  <c r="Q10" i="1" a="1"/>
  <c r="O24" i="1" a="1"/>
  <c r="P44" i="1" a="1"/>
  <c r="P26" i="1" a="1"/>
  <c r="P10" i="1" a="1"/>
  <c r="O7" i="1" a="1"/>
  <c r="Q39" i="1" a="1"/>
  <c r="Q31" i="1" a="1"/>
  <c r="Q23" i="1" a="1"/>
  <c r="Q15" i="1" a="1"/>
  <c r="Q7" i="1" a="1"/>
  <c r="S34" i="1" a="1"/>
  <c r="O18" i="1" a="1"/>
  <c r="P45" i="1" a="1"/>
  <c r="P37" i="1" a="1"/>
  <c r="P29" i="1" a="1"/>
  <c r="P21" i="1" a="1"/>
  <c r="P13" i="1" a="1"/>
  <c r="M35" i="1" a="1"/>
  <c r="O32" i="1" a="1"/>
  <c r="S16" i="1" a="1"/>
  <c r="T14" i="1" a="1"/>
  <c r="O27" i="1" a="1"/>
  <c r="Q40" i="1" a="1"/>
  <c r="P28" i="1" a="1"/>
  <c r="O11" i="1" a="1"/>
  <c r="U40" i="1" a="1"/>
  <c r="U32" i="1" a="1"/>
  <c r="U24" i="1" a="1"/>
  <c r="U16" i="1" a="1"/>
  <c r="U8" i="1" a="1"/>
  <c r="O38" i="1" a="1"/>
  <c r="O21" i="1" a="1"/>
  <c r="T44" i="1" a="1"/>
  <c r="T36" i="1" a="1"/>
  <c r="T28" i="1" a="1"/>
  <c r="T20" i="1" a="1"/>
  <c r="T10" i="1" a="1"/>
  <c r="S23" i="1" a="1"/>
  <c r="Q26" i="1" a="1"/>
  <c r="Q8" i="1" a="1"/>
  <c r="O20" i="1" a="1"/>
  <c r="P42" i="1" a="1"/>
  <c r="P24" i="1" a="1"/>
  <c r="P8" i="1" a="1"/>
  <c r="S14" i="1" a="1"/>
  <c r="V43" i="1" a="1"/>
  <c r="V27" i="1" a="1"/>
  <c r="R22" i="1" a="1"/>
  <c r="R16" i="1" a="1"/>
  <c r="V13" i="1" a="1"/>
  <c r="R7" i="1" a="1"/>
  <c r="U39" i="1" a="1"/>
  <c r="U23" i="1" a="1"/>
  <c r="U7" i="1" a="1"/>
  <c r="T45" i="1" a="1"/>
  <c r="T29" i="1" a="1"/>
  <c r="M43" i="1" a="1"/>
  <c r="V31" i="1" a="1"/>
  <c r="Q24" i="1" a="1"/>
  <c r="P40" i="1" a="1"/>
  <c r="O45" i="1" a="1"/>
  <c r="Q29" i="1" a="1"/>
  <c r="M37" i="1" a="1"/>
  <c r="P43" i="1" a="1"/>
  <c r="P27" i="1" a="1"/>
  <c r="S43" i="1" a="1"/>
  <c r="O13" i="1" a="1"/>
  <c r="V41" i="1" a="1"/>
  <c r="V21" i="1" a="1"/>
  <c r="Q34" i="1" a="1"/>
  <c r="U38" i="1" a="1"/>
  <c r="U22" i="1" a="1"/>
  <c r="S33" i="1" a="1"/>
  <c r="T34" i="1" a="1"/>
  <c r="M11" i="1" a="1"/>
  <c r="R42" i="1" a="1"/>
  <c r="M31" i="1" a="1"/>
  <c r="S11" i="1" a="1"/>
  <c r="P20" i="1" a="1"/>
  <c r="R36" i="1" a="1"/>
  <c r="R45" i="1" a="1"/>
  <c r="V40" i="1" a="1"/>
  <c r="V38" i="1" a="1"/>
  <c r="V37" i="1" a="1"/>
  <c r="V35" i="1" a="1"/>
  <c r="R31" i="1" a="1"/>
  <c r="V29" i="1" a="1"/>
  <c r="R27" i="1" a="1"/>
  <c r="V24" i="1" a="1"/>
  <c r="R23" i="1" a="1"/>
  <c r="R20" i="1" a="1"/>
  <c r="V18" i="1" a="1"/>
  <c r="R17" i="1" a="1"/>
  <c r="V14" i="1" a="1"/>
  <c r="R11" i="1" a="1"/>
  <c r="R10" i="1" a="1"/>
  <c r="M8" i="1" a="1"/>
  <c r="M9" i="1" a="1"/>
  <c r="R43" i="1" a="1"/>
  <c r="R41" i="1" a="1"/>
  <c r="R40" i="1" a="1"/>
  <c r="R39" i="1" a="1"/>
  <c r="R37" i="1" a="1"/>
  <c r="R33" i="1" a="1"/>
  <c r="R30" i="1" a="1"/>
  <c r="R28" i="1" a="1"/>
  <c r="V25" i="1" a="1"/>
  <c r="R24" i="1" a="1"/>
  <c r="V22" i="1" a="1"/>
  <c r="V19" i="1" a="1"/>
  <c r="V17" i="1" a="1"/>
  <c r="R15" i="1" a="1"/>
  <c r="V11" i="1" a="1"/>
  <c r="V10" i="1" a="1"/>
  <c r="V8" i="1" a="1"/>
  <c r="M17" i="1" a="1"/>
  <c r="V45" i="1" a="1"/>
  <c r="V42" i="1" a="1"/>
  <c r="V39" i="1" a="1"/>
  <c r="R38" i="1" a="1"/>
  <c r="V36" i="1" a="1"/>
  <c r="R32" i="1" a="1"/>
  <c r="V30" i="1" a="1"/>
  <c r="R29" i="1" a="1"/>
  <c r="R25" i="1" a="1"/>
  <c r="V23" i="1" a="1"/>
  <c r="V20" i="1" a="1"/>
  <c r="R18" i="1" a="1"/>
  <c r="V15" i="1" a="1"/>
  <c r="R12" i="1" a="1"/>
  <c r="R9" i="1" a="1"/>
  <c r="V7" i="1" a="1"/>
  <c r="M39" i="1" a="1"/>
  <c r="M31" i="1" l="1"/>
  <c r="M39" i="1"/>
  <c r="M44" i="1"/>
  <c r="R7" i="1"/>
  <c r="R8" i="1"/>
  <c r="R9" i="1"/>
  <c r="R10" i="1"/>
  <c r="R11" i="1"/>
  <c r="R12" i="1"/>
  <c r="R13" i="1"/>
  <c r="R14" i="1"/>
  <c r="R15" i="1"/>
  <c r="R16" i="1"/>
  <c r="R17" i="1"/>
  <c r="R18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R40" i="1"/>
  <c r="R41" i="1"/>
  <c r="V42" i="1"/>
  <c r="V43" i="1"/>
  <c r="R44" i="1"/>
  <c r="R45" i="1"/>
  <c r="M13" i="1"/>
  <c r="M33" i="1"/>
  <c r="M19" i="1"/>
  <c r="O7" i="1"/>
  <c r="O8" i="1"/>
  <c r="O9" i="1"/>
  <c r="O10" i="1"/>
  <c r="O11" i="1"/>
  <c r="O12" i="1"/>
  <c r="O13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O27" i="1"/>
  <c r="O28" i="1"/>
  <c r="O29" i="1"/>
  <c r="O30" i="1"/>
  <c r="O31" i="1"/>
  <c r="O32" i="1"/>
  <c r="O33" i="1"/>
  <c r="O34" i="1"/>
  <c r="O35" i="1"/>
  <c r="S35" i="1"/>
  <c r="S36" i="1"/>
  <c r="S37" i="1"/>
  <c r="S38" i="1"/>
  <c r="S39" i="1"/>
  <c r="S40" i="1"/>
  <c r="S41" i="1"/>
  <c r="S42" i="1"/>
  <c r="S43" i="1"/>
  <c r="S44" i="1"/>
  <c r="O45" i="1"/>
  <c r="M25" i="1"/>
  <c r="M35" i="1"/>
  <c r="M43" i="1"/>
  <c r="M21" i="1"/>
  <c r="M11" i="1"/>
  <c r="P7" i="1"/>
  <c r="T7" i="1"/>
  <c r="P8" i="1"/>
  <c r="T8" i="1"/>
  <c r="P9" i="1"/>
  <c r="T9" i="1"/>
  <c r="P10" i="1"/>
  <c r="T10" i="1"/>
  <c r="P11" i="1"/>
  <c r="T11" i="1"/>
  <c r="P12" i="1"/>
  <c r="T12" i="1"/>
  <c r="P13" i="1"/>
  <c r="T13" i="1"/>
  <c r="P14" i="1"/>
  <c r="T14" i="1"/>
  <c r="P15" i="1"/>
  <c r="T15" i="1"/>
  <c r="P16" i="1"/>
  <c r="T16" i="1"/>
  <c r="P17" i="1"/>
  <c r="T17" i="1"/>
  <c r="P18" i="1"/>
  <c r="T18" i="1"/>
  <c r="P19" i="1"/>
  <c r="T19" i="1"/>
  <c r="P20" i="1"/>
  <c r="T20" i="1"/>
  <c r="P21" i="1"/>
  <c r="T21" i="1"/>
  <c r="P22" i="1"/>
  <c r="T22" i="1"/>
  <c r="P23" i="1"/>
  <c r="T23" i="1"/>
  <c r="P24" i="1"/>
  <c r="T24" i="1"/>
  <c r="P25" i="1"/>
  <c r="T25" i="1"/>
  <c r="P26" i="1"/>
  <c r="T26" i="1"/>
  <c r="P27" i="1"/>
  <c r="T27" i="1"/>
  <c r="P28" i="1"/>
  <c r="T28" i="1"/>
  <c r="P29" i="1"/>
  <c r="T29" i="1"/>
  <c r="P30" i="1"/>
  <c r="T30" i="1"/>
  <c r="P31" i="1"/>
  <c r="T31" i="1"/>
  <c r="P32" i="1"/>
  <c r="T32" i="1"/>
  <c r="P33" i="1"/>
  <c r="T33" i="1"/>
  <c r="P34" i="1"/>
  <c r="T34" i="1"/>
  <c r="P35" i="1"/>
  <c r="T35" i="1"/>
  <c r="P36" i="1"/>
  <c r="T36" i="1"/>
  <c r="P37" i="1"/>
  <c r="T37" i="1"/>
  <c r="P38" i="1"/>
  <c r="T38" i="1"/>
  <c r="P39" i="1"/>
  <c r="T39" i="1"/>
  <c r="P40" i="1"/>
  <c r="T40" i="1"/>
  <c r="P41" i="1"/>
  <c r="T41" i="1"/>
  <c r="P42" i="1"/>
  <c r="T42" i="1"/>
  <c r="P43" i="1"/>
  <c r="T43" i="1"/>
  <c r="P44" i="1"/>
  <c r="T44" i="1"/>
  <c r="P45" i="1"/>
  <c r="T45" i="1"/>
  <c r="M9" i="1"/>
  <c r="M17" i="1"/>
  <c r="M8" i="1"/>
  <c r="V7" i="1"/>
  <c r="V8" i="1"/>
  <c r="V9" i="1"/>
  <c r="V10" i="1"/>
  <c r="V11" i="1"/>
  <c r="V12" i="1"/>
  <c r="V13" i="1"/>
  <c r="V14" i="1"/>
  <c r="V15" i="1"/>
  <c r="V16" i="1"/>
  <c r="V17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V40" i="1"/>
  <c r="V41" i="1"/>
  <c r="R42" i="1"/>
  <c r="R43" i="1"/>
  <c r="V44" i="1"/>
  <c r="V45" i="1"/>
  <c r="M41" i="1"/>
  <c r="M15" i="1"/>
  <c r="S7" i="1"/>
  <c r="S8" i="1"/>
  <c r="S9" i="1"/>
  <c r="S10" i="1"/>
  <c r="S11" i="1"/>
  <c r="S12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S27" i="1"/>
  <c r="S28" i="1"/>
  <c r="S29" i="1"/>
  <c r="S30" i="1"/>
  <c r="S31" i="1"/>
  <c r="S32" i="1"/>
  <c r="S33" i="1"/>
  <c r="S34" i="1"/>
  <c r="O36" i="1"/>
  <c r="O37" i="1"/>
  <c r="O38" i="1"/>
  <c r="O39" i="1"/>
  <c r="O40" i="1"/>
  <c r="O41" i="1"/>
  <c r="O42" i="1"/>
  <c r="O43" i="1"/>
  <c r="O44" i="1"/>
  <c r="S45" i="1"/>
  <c r="M29" i="1"/>
  <c r="M37" i="1"/>
  <c r="M45" i="1"/>
  <c r="M23" i="1"/>
  <c r="M27" i="1"/>
  <c r="Q7" i="1"/>
  <c r="U7" i="1"/>
  <c r="Q8" i="1"/>
  <c r="U8" i="1"/>
  <c r="Q9" i="1"/>
  <c r="U9" i="1"/>
  <c r="Q10" i="1"/>
  <c r="U10" i="1"/>
  <c r="Q11" i="1"/>
  <c r="U11" i="1"/>
  <c r="Q12" i="1"/>
  <c r="U12" i="1"/>
  <c r="Q13" i="1"/>
  <c r="U13" i="1"/>
  <c r="Q14" i="1"/>
  <c r="U14" i="1"/>
  <c r="Q15" i="1"/>
  <c r="U15" i="1"/>
  <c r="Q16" i="1"/>
  <c r="U16" i="1"/>
  <c r="Q17" i="1"/>
  <c r="U17" i="1"/>
  <c r="Q18" i="1"/>
  <c r="U18" i="1"/>
  <c r="Q19" i="1"/>
  <c r="U19" i="1"/>
  <c r="Q20" i="1"/>
  <c r="U20" i="1"/>
  <c r="Q21" i="1"/>
  <c r="U21" i="1"/>
  <c r="Q22" i="1"/>
  <c r="U22" i="1"/>
  <c r="Q23" i="1"/>
  <c r="U23" i="1"/>
  <c r="Q24" i="1"/>
  <c r="U24" i="1"/>
  <c r="Q25" i="1"/>
  <c r="U25" i="1"/>
  <c r="Q26" i="1"/>
  <c r="U26" i="1"/>
  <c r="Q27" i="1"/>
  <c r="U27" i="1"/>
  <c r="Q28" i="1"/>
  <c r="U28" i="1"/>
  <c r="Q29" i="1"/>
  <c r="U29" i="1"/>
  <c r="Q30" i="1"/>
  <c r="U30" i="1"/>
  <c r="Q31" i="1"/>
  <c r="U31" i="1"/>
  <c r="Q32" i="1"/>
  <c r="U32" i="1"/>
  <c r="Q33" i="1"/>
  <c r="U33" i="1"/>
  <c r="Q34" i="1"/>
  <c r="U34" i="1"/>
  <c r="Q35" i="1"/>
  <c r="U35" i="1"/>
  <c r="Q36" i="1"/>
  <c r="U36" i="1"/>
  <c r="Q37" i="1"/>
  <c r="U37" i="1"/>
  <c r="Q38" i="1"/>
  <c r="U38" i="1"/>
  <c r="Q39" i="1"/>
  <c r="U39" i="1"/>
  <c r="Q40" i="1"/>
  <c r="U40" i="1"/>
  <c r="Q41" i="1"/>
  <c r="U41" i="1"/>
  <c r="Q42" i="1"/>
  <c r="U42" i="1"/>
  <c r="Q43" i="1"/>
  <c r="U43" i="1"/>
  <c r="Q44" i="1"/>
  <c r="U44" i="1"/>
  <c r="Q45" i="1"/>
  <c r="U45" i="1"/>
  <c r="A28" i="1"/>
  <c r="A30" i="1"/>
  <c r="A32" i="1"/>
  <c r="A34" i="1"/>
  <c r="A36" i="1"/>
  <c r="A38" i="1"/>
  <c r="A40" i="1"/>
  <c r="A42" i="1"/>
  <c r="A26" i="1"/>
  <c r="A10" i="1"/>
  <c r="A12" i="1"/>
  <c r="A14" i="1"/>
  <c r="A16" i="1"/>
  <c r="A18" i="1"/>
  <c r="A20" i="1"/>
  <c r="A22" i="1"/>
  <c r="A24" i="1"/>
  <c r="M34" i="1" a="1"/>
  <c r="M16" i="1" a="1"/>
  <c r="M10" i="1" a="1"/>
  <c r="M42" i="1" a="1"/>
  <c r="M24" i="1" a="1"/>
  <c r="M18" i="1" a="1"/>
  <c r="M22" i="1" a="1"/>
  <c r="M38" i="1" a="1"/>
  <c r="M30" i="1" a="1"/>
  <c r="M14" i="1" a="1"/>
  <c r="M36" i="1" a="1"/>
  <c r="M26" i="1" a="1"/>
  <c r="M28" i="1" a="1"/>
  <c r="M40" i="1" a="1"/>
  <c r="M32" i="1" a="1"/>
  <c r="M20" i="1" a="1"/>
  <c r="M12" i="1" a="1"/>
  <c r="M20" i="1" l="1"/>
  <c r="M40" i="1"/>
  <c r="M18" i="1"/>
  <c r="M38" i="1"/>
  <c r="M24" i="1"/>
  <c r="M16" i="1"/>
  <c r="M26" i="1"/>
  <c r="M36" i="1"/>
  <c r="M28" i="1"/>
  <c r="M12" i="1"/>
  <c r="M32" i="1"/>
  <c r="M10" i="1"/>
  <c r="M30" i="1"/>
  <c r="M22" i="1"/>
  <c r="M14" i="1"/>
  <c r="M42" i="1"/>
  <c r="M3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<sst xmlns="http://schemas.openxmlformats.org/spreadsheetml/2006/main" count="136" uniqueCount="97">
  <si>
    <t>gain_ctrA0</t>
  </si>
  <si>
    <t>gain_ctrA1</t>
  </si>
  <si>
    <t>gain_ctrA2</t>
  </si>
  <si>
    <t>gain_ctrA3</t>
  </si>
  <si>
    <t>gain_ctrB0</t>
  </si>
  <si>
    <t>gain_ctrB1</t>
  </si>
  <si>
    <t>gain_ctrB2</t>
  </si>
  <si>
    <t>gain_ctrB3</t>
  </si>
  <si>
    <t>gain_ctrMA</t>
  </si>
  <si>
    <t>gain_ctrMB</t>
  </si>
  <si>
    <t>data_in</t>
  </si>
  <si>
    <t>out_A</t>
  </si>
  <si>
    <t>out_B</t>
  </si>
  <si>
    <t>Data</t>
  </si>
  <si>
    <t>Gain_MB</t>
  </si>
  <si>
    <t>Gain_MA</t>
  </si>
  <si>
    <t>Gain_B3</t>
  </si>
  <si>
    <t>Gain_B2</t>
  </si>
  <si>
    <t>Gain_B1</t>
  </si>
  <si>
    <t>Gain_B0</t>
  </si>
  <si>
    <t>Gain_A3</t>
  </si>
  <si>
    <t>Gain_A1</t>
  </si>
  <si>
    <t>Gain_A0</t>
  </si>
  <si>
    <t>Gain_A2</t>
  </si>
  <si>
    <t>ID</t>
  </si>
  <si>
    <t>DESCRIPTION</t>
  </si>
  <si>
    <t>PROCEDURE</t>
  </si>
  <si>
    <t>EXPECT</t>
  </si>
  <si>
    <t>ACTUAL</t>
  </si>
  <si>
    <t>RESULT</t>
  </si>
  <si>
    <t>COMMENT</t>
  </si>
  <si>
    <t>PASS</t>
  </si>
  <si>
    <t>FAIL</t>
  </si>
  <si>
    <t>NA</t>
  </si>
  <si>
    <t>MUL_01</t>
  </si>
  <si>
    <t>Test multiply Data Input 16-bit with Gain Level 10-bit. NORMAL CASES</t>
  </si>
  <si>
    <t>MUL_02</t>
  </si>
  <si>
    <t>Test multiply Data Input 16-bit with Gain Level 10-bit. SPECIAL CASES (Results are higher than max/min value of 26-bit number)</t>
  </si>
  <si>
    <t>LIM_01</t>
  </si>
  <si>
    <t>Test limit function for 16-bit result</t>
  </si>
  <si>
    <t>LIM_02</t>
  </si>
  <si>
    <t>Test limit function for 24-bit result</t>
  </si>
  <si>
    <t>1. Result = 343
2. Result = 0
3. Result = -8743
4. Result = 32767
5. Result = -32768
6. Result = 32767
7. Result = -32768</t>
  </si>
  <si>
    <t>OVF_01</t>
  </si>
  <si>
    <t>OVF_02</t>
  </si>
  <si>
    <t>1. Num1 = -34, Num2 = -8973, Num3 = -3243, Num4 = -6876
2. Num1 = -34, Num2 = -8973, Num3 = -3243, Num4 = -20743
3. Num1 = -1, Num2 = -1, Num3 = -1, Num4 = -32768</t>
  </si>
  <si>
    <t>OVF_03</t>
  </si>
  <si>
    <t>OVF_04</t>
  </si>
  <si>
    <t>OVF_05</t>
  </si>
  <si>
    <t>BHV_01</t>
  </si>
  <si>
    <t>Check if the output sequence and the output's frequency</t>
  </si>
  <si>
    <t>BHV_02</t>
  </si>
  <si>
    <t>Check the result of output signal</t>
  </si>
  <si>
    <t>GAI_01</t>
  </si>
  <si>
    <t>Test for the conversion of gain level</t>
  </si>
  <si>
    <t>LOS_01</t>
  </si>
  <si>
    <t>Test for the conversion of loss level</t>
  </si>
  <si>
    <r>
      <t xml:space="preserve">Test over flow detection
</t>
    </r>
    <r>
      <rPr>
        <b/>
        <sz val="11"/>
        <color theme="1"/>
        <rFont val="Calibri"/>
        <family val="2"/>
        <scheme val="minor"/>
      </rPr>
      <t>Adding four 16-bit positive numbers</t>
    </r>
  </si>
  <si>
    <r>
      <t xml:space="preserve">Test over flow detection
</t>
    </r>
    <r>
      <rPr>
        <b/>
        <sz val="11"/>
        <color theme="1"/>
        <rFont val="Calibri"/>
        <family val="2"/>
        <scheme val="minor"/>
      </rPr>
      <t>Adding four 16-bit negative numbers</t>
    </r>
  </si>
  <si>
    <r>
      <t xml:space="preserve">Test over flow detection
</t>
    </r>
    <r>
      <rPr>
        <b/>
        <sz val="11"/>
        <color theme="1"/>
        <rFont val="Calibri"/>
        <family val="2"/>
        <scheme val="minor"/>
      </rPr>
      <t>Adding two 16-bit negative numbers and two 16-bit positive numbers</t>
    </r>
  </si>
  <si>
    <r>
      <t xml:space="preserve">Test over flow detection
</t>
    </r>
    <r>
      <rPr>
        <b/>
        <sz val="11"/>
        <color theme="1"/>
        <rFont val="Calibri"/>
        <family val="2"/>
        <scheme val="minor"/>
      </rPr>
      <t>Adding one 16-bit negative numbers and three 16-bit positive numbers</t>
    </r>
  </si>
  <si>
    <t>1. Num1 = 34, Num2 = 8973, Num3 = 3243, Num4 = 6876
2. Num1 = 34, Num2 = 8973, Num3 = 3243, Num4 = 20743
3. Num1 = 1, Num2 = 0, Num3 = 0, Num4 = 32767</t>
  </si>
  <si>
    <t>1. OverFlow = 00, Result = 19,126
2. OverFlow = 01, Result = 32,767
3. OverFlow = 01, Result = 32,767</t>
  </si>
  <si>
    <t>1. OverFlow = 00, Result = -19,126
2. OverFlow = 10, Result = -32,768
3. OverFlow = 10, Result = -32,768</t>
  </si>
  <si>
    <r>
      <t xml:space="preserve">Test over flow detection
</t>
    </r>
    <r>
      <rPr>
        <b/>
        <sz val="11"/>
        <color theme="1"/>
        <rFont val="Calibri"/>
        <family val="2"/>
        <scheme val="minor"/>
      </rPr>
      <t>Adding three 16-bit negative numbers and one 16-bit positive numbers</t>
    </r>
  </si>
  <si>
    <r>
      <rPr>
        <b/>
        <sz val="11"/>
        <color theme="1"/>
        <rFont val="Calibri"/>
        <family val="2"/>
        <scheme val="minor"/>
      </rPr>
      <t>No Overflow</t>
    </r>
    <r>
      <rPr>
        <sz val="11"/>
        <color theme="1"/>
        <rFont val="Calibri"/>
        <family val="2"/>
        <scheme val="minor"/>
      </rPr>
      <t xml:space="preserve">
1. Num1 = -32768, Num2 = 0, Num3 = 0, Num4 = 0
2. Num1 = 8973, Num2 = -34, Num3 = 7243, Num4 = 2743
3. Num1 = 3276, Num2 = 1, Num3 = -323, Num4 = 323
4. Num1 = 323, Num2 = 1, Num3 = 3276, Num4 = -325
</t>
    </r>
    <r>
      <rPr>
        <b/>
        <sz val="11"/>
        <color theme="1"/>
        <rFont val="Calibri"/>
        <family val="2"/>
        <scheme val="minor"/>
      </rPr>
      <t>Overflow
1</t>
    </r>
    <r>
      <rPr>
        <sz val="11"/>
        <color theme="1"/>
        <rFont val="Calibri"/>
        <family val="2"/>
        <scheme val="minor"/>
      </rPr>
      <t>. Num1 = -32768, Num2 = 19873, Num3 = 32767, Num4 = 20743
2. Num1 = 19873, Num2 = -32768, Num3 = 32767, Num4 = 20743
3. Num1 = 19873, Num2 = 8973, Num3 = -3276, Num4 = 20743
4. Num1 = 19873, Num2 = 8973, Num3 = 28767, Num4 = -20743</t>
    </r>
  </si>
  <si>
    <r>
      <rPr>
        <b/>
        <sz val="11"/>
        <color theme="1"/>
        <rFont val="Calibri"/>
        <family val="2"/>
        <scheme val="minor"/>
      </rPr>
      <t>No Overflow</t>
    </r>
    <r>
      <rPr>
        <sz val="11"/>
        <color theme="1"/>
        <rFont val="Calibri"/>
        <family val="2"/>
        <scheme val="minor"/>
      </rPr>
      <t xml:space="preserve">
1. OverFlow = 00, Result = -32768
2. OverFlow = 00, Result = 18,925
3. OverFlow = 00, Result = 3,277
4. OverFlow = 00, Result = 3,275
</t>
    </r>
    <r>
      <rPr>
        <b/>
        <sz val="11"/>
        <color theme="1"/>
        <rFont val="Calibri"/>
        <family val="2"/>
        <scheme val="minor"/>
      </rPr>
      <t xml:space="preserve">Overflow
</t>
    </r>
    <r>
      <rPr>
        <sz val="11"/>
        <color theme="1"/>
        <rFont val="Calibri"/>
        <family val="2"/>
        <scheme val="minor"/>
      </rPr>
      <t>1. OverFlow = 01, Result = 32,767
2. OverFlow = 01, Result = 32,767
3. OverFlow = 01, Result = 32,767
4. OverFlow = 01, Result = 32,767</t>
    </r>
  </si>
  <si>
    <r>
      <rPr>
        <b/>
        <sz val="11"/>
        <color theme="1"/>
        <rFont val="Calibri"/>
        <family val="2"/>
        <scheme val="minor"/>
      </rPr>
      <t>No Overflow</t>
    </r>
    <r>
      <rPr>
        <sz val="11"/>
        <color theme="1"/>
        <rFont val="Calibri"/>
        <family val="2"/>
        <scheme val="minor"/>
      </rPr>
      <t xml:space="preserve">
1. Num1 = 32767, Num2 = -343, Num3 = -893, Num4 = -23423
2. Num1 = -343, Num2 = 32767, Num3 = -893, Num4 = -23423
3. Num1 = -343, Num2 = -893, Num3 = 32767, Num4 = -23423
4. Num1 = -343, Num2 = -893, Num3 = -23423, Num4 = 32767
</t>
    </r>
    <r>
      <rPr>
        <b/>
        <sz val="11"/>
        <color theme="1"/>
        <rFont val="Calibri"/>
        <family val="2"/>
        <scheme val="minor"/>
      </rPr>
      <t xml:space="preserve">Overflow
</t>
    </r>
    <r>
      <rPr>
        <sz val="11"/>
        <color theme="1"/>
        <rFont val="Calibri"/>
        <family val="2"/>
        <scheme val="minor"/>
      </rPr>
      <t>1. Num1 = 3276, Num2 = -3403, Num3 = -18930, Num4 = -23423
2. Num1 = -3403, Num2 = 3276, Num3 = -18930, Num4 = -23423
3. Num1 = -3403, Num2 = -18930, Num3 = 3276, Num4 = -23423
4. Num1 = -3403, Num2 = -18930, Num3 = -23423, Num4 = 3276</t>
    </r>
  </si>
  <si>
    <r>
      <rPr>
        <b/>
        <sz val="11"/>
        <color theme="1"/>
        <rFont val="Calibri"/>
        <family val="2"/>
        <scheme val="minor"/>
      </rPr>
      <t>No Overflow</t>
    </r>
    <r>
      <rPr>
        <sz val="11"/>
        <color theme="1"/>
        <rFont val="Calibri"/>
        <family val="2"/>
        <scheme val="minor"/>
      </rPr>
      <t xml:space="preserve">
1. OverFlow = 00, Result = 8,108
2. OverFlow = 00, Result = 8,108
3. OverFlow = 00, Result = 8,108
4. OverFlow = 00, Result = 8,108
</t>
    </r>
    <r>
      <rPr>
        <b/>
        <sz val="11"/>
        <color theme="1"/>
        <rFont val="Calibri"/>
        <family val="2"/>
        <scheme val="minor"/>
      </rPr>
      <t xml:space="preserve">Overflow
</t>
    </r>
    <r>
      <rPr>
        <sz val="11"/>
        <color theme="1"/>
        <rFont val="Calibri"/>
        <family val="2"/>
        <scheme val="minor"/>
      </rPr>
      <t>1. OverFlow = 10, Result = -32,768
2. OverFlow = 10, Result = -32,768
3. OverFlow = 10, Result = -32,768
4. OverFlow = 10, Result = -32,768</t>
    </r>
  </si>
  <si>
    <r>
      <rPr>
        <b/>
        <sz val="11"/>
        <color theme="1"/>
        <rFont val="Calibri"/>
        <family val="2"/>
        <scheme val="minor"/>
      </rPr>
      <t>No Overflow</t>
    </r>
    <r>
      <rPr>
        <sz val="11"/>
        <color theme="1"/>
        <rFont val="Calibri"/>
        <family val="2"/>
        <scheme val="minor"/>
      </rPr>
      <t xml:space="preserve">
1. Num1 = -32768, Num2 = -32767, Num3 = 32767, Num4 = 32767
2. Num1 = -34, Num2 = 8973, Num3 = -3243, Num4 = 20743
3. Num1 = -34, Num2 = 8973, Num3 = 20743, Num4 = -3243
4. Num1 = 8973, Num2 = -34, Num3 = -3243, Num4 = 20743
5. Num1 = 8973, Num2 = -34, Num3 = 20743, Num4 = -3243
6. Num1 = 8973, Num2 = 20743, Num3 = -34, Num4 = -3243
</t>
    </r>
    <r>
      <rPr>
        <b/>
        <sz val="11"/>
        <color theme="1"/>
        <rFont val="Calibri"/>
        <family val="2"/>
        <scheme val="minor"/>
      </rPr>
      <t xml:space="preserve">Overflow
</t>
    </r>
    <r>
      <rPr>
        <sz val="11"/>
        <color theme="1"/>
        <rFont val="Calibri"/>
        <family val="2"/>
        <scheme val="minor"/>
      </rPr>
      <t>1. Num1 = -32768, Num2 = -32767, Num3 = 327, Num4 = 0
2. Num1 = -133, Num2 = 1873, Num3 = -232, Num4 = 32073
3. Num1 = -13344, Num2 = 897, Num3 = 2073, Num4 = -32243
4. Num1 = 21897, Num2 = -134, Num3 = -3243, Num4 = 20073
5. Num1 = 83, Num2 = -32034, Num3 = 73, Num4 = -3043
6. Num1 = 17029, Num2 = 23743, Num3 = -34, Num4 = -324</t>
    </r>
  </si>
  <si>
    <r>
      <rPr>
        <b/>
        <sz val="11"/>
        <color theme="1"/>
        <rFont val="Calibri"/>
        <family val="2"/>
        <scheme val="minor"/>
      </rPr>
      <t>No Overflow</t>
    </r>
    <r>
      <rPr>
        <sz val="11"/>
        <color theme="1"/>
        <rFont val="Calibri"/>
        <family val="2"/>
        <scheme val="minor"/>
      </rPr>
      <t xml:space="preserve">
1. OverFlow = 00, Result = -1
2. OverFlow = 00, Result = 26,439
3. OverFlow = 00, Result = 26,439
4. OverFlow = 00, Result = 26,439
5. OverFlow = 00, Result = 26,439
6. OverFlow = 00, Result = 26,439
</t>
    </r>
    <r>
      <rPr>
        <b/>
        <sz val="11"/>
        <color theme="1"/>
        <rFont val="Calibri"/>
        <family val="2"/>
        <scheme val="minor"/>
      </rPr>
      <t xml:space="preserve">Overflow
</t>
    </r>
    <r>
      <rPr>
        <sz val="11"/>
        <color theme="1"/>
        <rFont val="Calibri"/>
        <family val="2"/>
        <scheme val="minor"/>
      </rPr>
      <t>1. OverFlow = 10, Result = -32,768
2. OverFlow = 01, Result = 32,767
3. OverFlow = 10, Result = -32,768
4. OverFlow = 01, Result = -32,768
5. OverFlow = 10, Result = -32,768
6. OverFlow = 01, Result = -32,768</t>
    </r>
  </si>
  <si>
    <t>temp_B</t>
  </si>
  <si>
    <t>temp_A</t>
  </si>
  <si>
    <t>In_A0</t>
  </si>
  <si>
    <t>In_A1</t>
  </si>
  <si>
    <t>In_A2</t>
  </si>
  <si>
    <t>In_A3</t>
  </si>
  <si>
    <t>In_B0</t>
  </si>
  <si>
    <t>In_B1</t>
  </si>
  <si>
    <t>In_B2</t>
  </si>
  <si>
    <t>In_B3</t>
  </si>
  <si>
    <t>In_MA</t>
  </si>
  <si>
    <t>In_MB</t>
  </si>
  <si>
    <t>final_out</t>
  </si>
  <si>
    <t>Check on simulation waves and mixer_data_out.txt</t>
  </si>
  <si>
    <t>The output sequence is Signal A -&gt; Signal B -&gt; Signal A -&gt; Signal B… with the duration between outputs as same as data input, the content of mixer_data_out.txt as same as column final_out in Calculation sheet</t>
  </si>
  <si>
    <t xml:space="preserve">The value of output signal is 24 bits and the value is calculated follow the rule in the requirement, the content of mixer_data_out.txt as same as column final_out in Calculation sheet
</t>
  </si>
  <si>
    <t>1. Gain Input = b'00000 00001 (d'1),  Data Input = -618
2. Gain Input = b'00000 00011 (d'3),  Data Input = -800
3. Gain Input = b'00000 00111(d'7),  Data Input = -896
4. Gain Input = b'00000 01111(d'15),  Data Input = -960
5. Gain Input = b'00000 11111(d'31),  Data Input = -1000</t>
  </si>
  <si>
    <t>1. Data Input = 0, Gain Level =  0
2. Data Input = 234, Gain Level =  0
3. Data Input = 0, Gain Level =  2
4. Data Input = 153, Gain Level = 31
5. Data Input = -61, Gain Level =  16
6. Data Input = 0, Gain Level = 1/2
7. Data Input = -10, Gain Level = 1/4
8. Data Input = 1024, Gain Level = 1/31
9. Data Input = -3784, Gain Level = 1/16</t>
  </si>
  <si>
    <t>1. Result = 0
2. Result = 234
3. Result = 0
4. Result = 4743
5. Result = -976
6. Result = 0
7. Result = -2
8. Result = 33
9. Result = -236</t>
  </si>
  <si>
    <t>1. Data Input = 32767, Gain Level =  31
2. Data Input = -9651, Gain Level =  31
3. Data Input = 32767, Gain Level = 1/31
4. Data Input = -32768, Gain Level =  1/31
5. Data Input = -32768, Gain Level = 31</t>
  </si>
  <si>
    <t>1. Result = 1,015,777
2. Result = -299,181
3. Result = 1,057
4. Result = -1,057
5. Result = -1,015,808</t>
  </si>
  <si>
    <t>1. Data Input = 343, Gain Level = 0
2. Data Input = 0, Gain Level = 0
3. Data Input = -8743, Gain Level = 0
4. Data Input = 32767, Gain Level = 0
5. Data Input = -32768, Gain Level = 0
6. Data Input = 32767, Gain Level = 31
7. Data Input = -32768, Gain Level = 31</t>
  </si>
  <si>
    <t>1. Result = 343
2. Result = 0
3. Result = -8743
4. Result = 32767
5. Result = -32768
6. Result = 1,015,777
7. Result = -1,015,808</t>
  </si>
  <si>
    <t>1. Result = 1
2. Result = 1
3. Result = 3
4. Result = 7
5. Result = 15
6. Result = 31</t>
  </si>
  <si>
    <t>Set Data Input = 1
1. Gain Input = 0
2. Gain Input = b'00001 00000 (d'32)
3. Gain Input = b'00011 00000 (d'96)
4. Gain Input = b'00111 00000(d'224)
5. Gain Input = b'01111 00000(d'480)
6. Gain Input = b'11111 00000(d'992)</t>
  </si>
  <si>
    <t>1. Result = -38
2. Result = -33
3. Result = -32
4. Result = -32
5. Result = -32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</si>
</sst>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Fill="1"/>
    <xf numFmtId="1" fontId="0" fillId="0" borderId="0" xfId="0" applyNumberFormat="1"/>
    <xf numFmtId="1" fontId="0" fillId="0" borderId="0" xfId="0" applyNumberFormat="1" applyFill="1"/>
    <xf numFmtId="0" fontId="0" fillId="0" borderId="0" xfId="0" applyNumberFormat="1"/>
    <xf numFmtId="0" fontId="0" fillId="0" borderId="0" xfId="0" applyAlignment="1">
      <alignment wrapText="1"/>
    </xf>
    <xf numFmtId="0" fontId="0" fillId="2" borderId="0" xfId="0" applyNumberFormat="1" applyFill="1"/>
    <xf numFmtId="0" fontId="0" fillId="2" borderId="0" xfId="0" applyFill="1"/>
  </cellXfs>
  <cellStyles count="1">
    <cellStyle name="Normal" xfId="0" builtinId="0"/>
  </cellStyles>
  <dxfs count="3"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38100</xdr:colOff>
      <xdr:row>14</xdr:row>
      <xdr:rowOff>38100</xdr:rowOff>
    </xdr:from>
    <xdr:to>
      <xdr:col>8</xdr:col>
      <xdr:colOff>294165</xdr:colOff>
      <xdr:row>19</xdr:row>
      <xdr:rowOff>132981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E86F1A0-D6C0-4717-BC38-52B39907E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49375" y="15849600"/>
          <a:ext cx="8876190" cy="2952381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</xdr:colOff>
      <xdr:row>3</xdr:row>
      <xdr:rowOff>238125</xdr:rowOff>
    </xdr:from>
    <xdr:to>
      <xdr:col>6</xdr:col>
      <xdr:colOff>7619051</xdr:colOff>
      <xdr:row>3</xdr:row>
      <xdr:rowOff>1019077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039850" y="809625"/>
          <a:ext cx="7590476" cy="780952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</xdr:row>
      <xdr:rowOff>0</xdr:rowOff>
    </xdr:from>
    <xdr:to>
      <xdr:col>6</xdr:col>
      <xdr:colOff>6809524</xdr:colOff>
      <xdr:row>4</xdr:row>
      <xdr:rowOff>819048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011275" y="1905000"/>
          <a:ext cx="6809524" cy="819048"/>
        </a:xfrm>
        <a:prstGeom prst="rect">
          <a:avLst/>
        </a:prstGeom>
      </xdr:spPr>
    </xdr:pic>
    <xdr:clientData/>
  </xdr:twoCellAnchor>
  <xdr:twoCellAnchor editAs="oneCell">
    <xdr:from>
      <xdr:col>6</xdr:col>
      <xdr:colOff>38100</xdr:colOff>
      <xdr:row>5</xdr:row>
      <xdr:rowOff>400050</xdr:rowOff>
    </xdr:from>
    <xdr:to>
      <xdr:col>9</xdr:col>
      <xdr:colOff>484565</xdr:colOff>
      <xdr:row>5</xdr:row>
      <xdr:rowOff>1200050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049375" y="3257550"/>
          <a:ext cx="9676190" cy="80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</xdr:row>
      <xdr:rowOff>0</xdr:rowOff>
    </xdr:from>
    <xdr:to>
      <xdr:col>11</xdr:col>
      <xdr:colOff>332027</xdr:colOff>
      <xdr:row>6</xdr:row>
      <xdr:rowOff>857143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011275" y="4572000"/>
          <a:ext cx="10780952" cy="857143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</xdr:colOff>
      <xdr:row>7</xdr:row>
      <xdr:rowOff>790575</xdr:rowOff>
    </xdr:from>
    <xdr:to>
      <xdr:col>16</xdr:col>
      <xdr:colOff>426888</xdr:colOff>
      <xdr:row>8</xdr:row>
      <xdr:rowOff>571361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039850" y="6315075"/>
          <a:ext cx="13895238" cy="1114286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</xdr:row>
      <xdr:rowOff>1247775</xdr:rowOff>
    </xdr:from>
    <xdr:to>
      <xdr:col>12</xdr:col>
      <xdr:colOff>570046</xdr:colOff>
      <xdr:row>11</xdr:row>
      <xdr:rowOff>56989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011275" y="8105775"/>
          <a:ext cx="11628571" cy="1285714"/>
        </a:xfrm>
        <a:prstGeom prst="rect">
          <a:avLst/>
        </a:prstGeom>
      </xdr:spPr>
    </xdr:pic>
    <xdr:clientData/>
  </xdr:twoCellAnchor>
  <xdr:twoCellAnchor editAs="oneCell">
    <xdr:from>
      <xdr:col>6</xdr:col>
      <xdr:colOff>19050</xdr:colOff>
      <xdr:row>11</xdr:row>
      <xdr:rowOff>666750</xdr:rowOff>
    </xdr:from>
    <xdr:to>
      <xdr:col>14</xdr:col>
      <xdr:colOff>46087</xdr:colOff>
      <xdr:row>11</xdr:row>
      <xdr:rowOff>1952464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030325" y="10001250"/>
          <a:ext cx="12304762" cy="1285714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12</xdr:row>
      <xdr:rowOff>304800</xdr:rowOff>
    </xdr:from>
    <xdr:to>
      <xdr:col>8</xdr:col>
      <xdr:colOff>513209</xdr:colOff>
      <xdr:row>12</xdr:row>
      <xdr:rowOff>1580990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020800" y="12306300"/>
          <a:ext cx="9123809" cy="127619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19050</xdr:colOff>
      <xdr:row>13</xdr:row>
      <xdr:rowOff>238125</xdr:rowOff>
    </xdr:from>
    <xdr:to>
      <xdr:col>8</xdr:col>
      <xdr:colOff>522734</xdr:colOff>
      <xdr:row>13</xdr:row>
      <xdr:rowOff>1523839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030325" y="14144625"/>
          <a:ext cx="9123809" cy="128571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14</xdr:row>
          <xdr:rowOff>914400</xdr:rowOff>
        </xdr:from>
        <xdr:to>
          <xdr:col>6</xdr:col>
          <xdr:colOff>1371600</xdr:colOff>
          <xdr:row>15</xdr:row>
          <xdr:rowOff>285750</xdr:rowOff>
        </xdr:to>
        <xdr:sp macro="" textlink="">
          <xdr:nvSpPr>
            <xdr:cNvPr id="1033" name="Object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61363-33D5-4993-B1B1-0239555153E0}">
  <sheetPr codeName="Sheet1"/>
  <dimension ref="A1:AA45"/>
  <sheetViews>
    <sheetView zoomScale="85" zoomScaleNormal="85" workbookViewId="0">
      <selection sqref="A1:K12"/>
    </sheetView>
  </sheetViews>
  <sheetFormatPr defaultRowHeight="15" x14ac:dyDescent="0.25"/>
  <cols>
    <col min="1" max="4" width="10.28515625" bestFit="1" customWidth="1"/>
    <col min="5" max="8" width="10.140625" bestFit="1" customWidth="1"/>
    <col min="9" max="9" width="11" bestFit="1" customWidth="1"/>
    <col min="10" max="10" width="10.85546875" bestFit="1" customWidth="1"/>
  </cols>
  <sheetData>
    <row r="1" spans="1:2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6" spans="1:27" x14ac:dyDescent="0.25">
      <c r="A6" s="2">
        <v>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>
        <f ca="1">RANDBETWEEN(-32768,32767)</f>
        <v>25930</v>
      </c>
      <c r="M6" cm="1">
        <f t="array" ref="M6">IF(A6&lt;=31,CalLoss(A6),CalGain(A6))</f>
        <v>0</v>
      </c>
      <c r="N6" cm="1">
        <f t="array" ref="N6">IF(B6&lt;=31,CalLoss(B6),CalGain(B6))</f>
        <v>0</v>
      </c>
      <c r="O6" cm="1">
        <f t="array" ref="O6">IF(C6&lt;=31,CalLoss(C6),CalGain(C6))</f>
        <v>0</v>
      </c>
      <c r="P6" cm="1">
        <f t="array" ref="P6">IF(D6&lt;=31,CalLoss(D6),CalGain(D6))</f>
        <v>0</v>
      </c>
      <c r="Q6" cm="1">
        <f t="array" ref="Q6">IF(E6&lt;=31,CalLoss(E6),CalGain(E6))</f>
        <v>0</v>
      </c>
      <c r="R6" cm="1">
        <f t="array" ref="R6">IF(F6&lt;=31,CalLoss(F6),CalGain(F6))</f>
        <v>0</v>
      </c>
      <c r="S6" cm="1">
        <f t="array" ref="S6">IF(G6&lt;=31,CalLoss(G6),CalGain(G6))</f>
        <v>0</v>
      </c>
      <c r="T6" cm="1">
        <f t="array" ref="T6">IF(H6&lt;=31,CalLoss(H6),CalGain(H6))</f>
        <v>0</v>
      </c>
      <c r="U6" cm="1">
        <f t="array" ref="U6">IF(I6&lt;=31,CalLoss(I6),CalGain(I6))</f>
        <v>0</v>
      </c>
      <c r="V6" cm="1">
        <f t="array" ref="V6">IF(J6&lt;=31,CalLoss(J6),CalGain(J6))</f>
        <v>0</v>
      </c>
      <c r="W6">
        <v>75</v>
      </c>
      <c r="X6">
        <v>47</v>
      </c>
      <c r="Y6">
        <v>75</v>
      </c>
    </row>
    <row r="7" spans="1:27" s="1" customFormat="1" x14ac:dyDescent="0.25">
      <c r="A7" s="3">
        <f ca="1">_xlfn.BITLSHIFT(RANDBETWEEN(0,1),5)</f>
        <v>32</v>
      </c>
      <c r="B7" s="3">
        <f t="shared" ref="B7:J7" ca="1" si="0">_xlfn.BITLSHIFT(RANDBETWEEN(0,1),5)</f>
        <v>0</v>
      </c>
      <c r="C7" s="3">
        <f t="shared" ca="1" si="0"/>
        <v>32</v>
      </c>
      <c r="D7" s="3">
        <f t="shared" ca="1" si="0"/>
        <v>0</v>
      </c>
      <c r="E7" s="3">
        <f t="shared" ca="1" si="0"/>
        <v>32</v>
      </c>
      <c r="F7" s="3">
        <f t="shared" ca="1" si="0"/>
        <v>32</v>
      </c>
      <c r="G7" s="3">
        <f t="shared" ca="1" si="0"/>
        <v>32</v>
      </c>
      <c r="H7" s="3">
        <f t="shared" ca="1" si="0"/>
        <v>32</v>
      </c>
      <c r="I7" s="3">
        <f t="shared" ca="1" si="0"/>
        <v>32</v>
      </c>
      <c r="J7" s="3">
        <f t="shared" ca="1" si="0"/>
        <v>0</v>
      </c>
      <c r="K7">
        <f t="shared" ref="K7:K45" ca="1" si="1">RANDBETWEEN(-32768,32767)</f>
        <v>16524</v>
      </c>
      <c r="M7" cm="1">
        <f t="array" aca="1" ref="M7" ca="1">IF(A7&lt;=31,CalLoss(A7),CalGain(A7))</f>
        <v>1</v>
      </c>
      <c r="N7" cm="1">
        <f t="array" aca="1" ref="N7" ca="1">IF(B7&lt;=31,CalLoss(B7),CalGain(B7))</f>
        <v>0</v>
      </c>
      <c r="O7" cm="1">
        <f t="array" aca="1" ref="O7" ca="1">IF(C7&lt;=31,CalLoss(C7),CalGain(C7))</f>
        <v>1</v>
      </c>
      <c r="P7" cm="1">
        <f t="array" aca="1" ref="P7" ca="1">IF(D7&lt;=31,CalLoss(D7),CalGain(D7))</f>
        <v>0</v>
      </c>
      <c r="Q7" cm="1">
        <f t="array" aca="1" ref="Q7" ca="1">IF(E7&lt;=31,CalLoss(E7),CalGain(E7))</f>
        <v>1</v>
      </c>
      <c r="R7" cm="1">
        <f t="array" aca="1" ref="R7" ca="1">IF(F7&lt;=31,CalLoss(F7),CalGain(F7))</f>
        <v>1</v>
      </c>
      <c r="S7" cm="1">
        <f t="array" aca="1" ref="S7" ca="1">IF(G7&lt;=31,CalLoss(G7),CalGain(G7))</f>
        <v>1</v>
      </c>
      <c r="T7" cm="1">
        <f t="array" aca="1" ref="T7" ca="1">IF(H7&lt;=31,CalLoss(H7),CalGain(H7))</f>
        <v>1</v>
      </c>
      <c r="U7" cm="1">
        <f t="array" aca="1" ref="U7" ca="1">IF(I7&lt;=31,CalLoss(I7),CalGain(I7))</f>
        <v>1</v>
      </c>
      <c r="V7" cm="1">
        <f t="array" aca="1" ref="V7" ca="1">IF(J7&lt;=31,CalLoss(J7),CalGain(J7))</f>
        <v>0</v>
      </c>
      <c r="W7" s="1">
        <v>24613</v>
      </c>
      <c r="X7" s="1">
        <v>-7631</v>
      </c>
      <c r="Y7" s="1">
        <v>24688</v>
      </c>
      <c r="Z7" s="1">
        <v>-7584</v>
      </c>
      <c r="AA7" s="1">
        <v>24688</v>
      </c>
    </row>
    <row r="8" spans="1:27" x14ac:dyDescent="0.25">
      <c r="A8" s="2">
        <f ca="1">RANDBETWEEN(20, 31)</f>
        <v>20</v>
      </c>
      <c r="B8" s="2">
        <f t="shared" ref="B8:J8" ca="1" si="2">RANDBETWEEN(20, 31)</f>
        <v>29</v>
      </c>
      <c r="C8" s="2">
        <f t="shared" ca="1" si="2"/>
        <v>23</v>
      </c>
      <c r="D8" s="2">
        <f t="shared" ca="1" si="2"/>
        <v>30</v>
      </c>
      <c r="E8" s="2">
        <f t="shared" ca="1" si="2"/>
        <v>31</v>
      </c>
      <c r="F8" s="2">
        <f t="shared" ca="1" si="2"/>
        <v>21</v>
      </c>
      <c r="G8" s="2">
        <f t="shared" ca="1" si="2"/>
        <v>24</v>
      </c>
      <c r="H8" s="2">
        <f t="shared" ca="1" si="2"/>
        <v>23</v>
      </c>
      <c r="I8" s="2">
        <f t="shared" ca="1" si="2"/>
        <v>30</v>
      </c>
      <c r="J8" s="2">
        <f t="shared" ca="1" si="2"/>
        <v>20</v>
      </c>
      <c r="K8">
        <f t="shared" ca="1" si="1"/>
        <v>-6554</v>
      </c>
      <c r="M8" cm="1">
        <f t="array" aca="1" ref="M8" ca="1">IF(A8&lt;=31,CalLoss(A8),CalGain(A8))</f>
        <v>5</v>
      </c>
      <c r="N8" cm="1">
        <f t="array" aca="1" ref="N8" ca="1">IF(B8&lt;=31,CalLoss(B8),CalGain(B8))</f>
        <v>23</v>
      </c>
      <c r="O8" cm="1">
        <f t="array" aca="1" ref="O8" ca="1">IF(C8&lt;=31,CalLoss(C8),CalGain(C8))</f>
        <v>29</v>
      </c>
      <c r="P8" cm="1">
        <f t="array" aca="1" ref="P8" ca="1">IF(D8&lt;=31,CalLoss(D8),CalGain(D8))</f>
        <v>15</v>
      </c>
      <c r="Q8" cm="1">
        <f t="array" aca="1" ref="Q8" ca="1">IF(E8&lt;=31,CalLoss(E8),CalGain(E8))</f>
        <v>31</v>
      </c>
      <c r="R8" cm="1">
        <f t="array" aca="1" ref="R8" ca="1">IF(F8&lt;=31,CalLoss(F8),CalGain(F8))</f>
        <v>21</v>
      </c>
      <c r="S8" cm="1">
        <f t="array" aca="1" ref="S8" ca="1">IF(G8&lt;=31,CalLoss(G8),CalGain(G8))</f>
        <v>3</v>
      </c>
      <c r="T8" cm="1">
        <f t="array" aca="1" ref="T8" ca="1">IF(H8&lt;=31,CalLoss(H8),CalGain(H8))</f>
        <v>29</v>
      </c>
      <c r="U8" cm="1">
        <f t="array" aca="1" ref="U8" ca="1">IF(I8&lt;=31,CalLoss(I8),CalGain(I8))</f>
        <v>15</v>
      </c>
      <c r="V8" cm="1">
        <f t="array" aca="1" ref="V8" ca="1">IF(J8&lt;=31,CalLoss(J8),CalGain(J8))</f>
        <v>5</v>
      </c>
      <c r="W8">
        <v>-387</v>
      </c>
      <c r="X8">
        <v>-784</v>
      </c>
      <c r="Y8">
        <v>1279</v>
      </c>
      <c r="Z8">
        <v>-363</v>
      </c>
      <c r="AA8">
        <v>-363</v>
      </c>
    </row>
    <row r="9" spans="1:27" s="1" customFormat="1" x14ac:dyDescent="0.25">
      <c r="A9" s="3">
        <f t="shared" ref="A9:J9" ca="1" si="3">_xlfn.BITLSHIFT(RANDBETWEEN(0,31),5)</f>
        <v>864</v>
      </c>
      <c r="B9" s="3">
        <f t="shared" ca="1" si="3"/>
        <v>800</v>
      </c>
      <c r="C9" s="3">
        <f t="shared" ca="1" si="3"/>
        <v>352</v>
      </c>
      <c r="D9" s="3">
        <f t="shared" ca="1" si="3"/>
        <v>704</v>
      </c>
      <c r="E9" s="3">
        <f t="shared" ca="1" si="3"/>
        <v>640</v>
      </c>
      <c r="F9" s="3">
        <f t="shared" ca="1" si="3"/>
        <v>256</v>
      </c>
      <c r="G9" s="3">
        <f t="shared" ca="1" si="3"/>
        <v>256</v>
      </c>
      <c r="H9" s="3">
        <f t="shared" ca="1" si="3"/>
        <v>384</v>
      </c>
      <c r="I9" s="3">
        <f t="shared" ca="1" si="3"/>
        <v>192</v>
      </c>
      <c r="J9" s="3">
        <f t="shared" ca="1" si="3"/>
        <v>352</v>
      </c>
      <c r="K9">
        <f t="shared" ca="1" si="1"/>
        <v>9251</v>
      </c>
      <c r="M9" cm="1">
        <f t="array" aca="1" ref="M9" ca="1">IF(A9&lt;=31,CalLoss(A9),CalGain(A9))</f>
        <v>27</v>
      </c>
      <c r="N9" cm="1">
        <f t="array" aca="1" ref="N9" ca="1">IF(B9&lt;=31,CalLoss(B9),CalGain(B9))</f>
        <v>25</v>
      </c>
      <c r="O9" cm="1">
        <f t="array" aca="1" ref="O9" ca="1">IF(C9&lt;=31,CalLoss(C9),CalGain(C9))</f>
        <v>11</v>
      </c>
      <c r="P9" cm="1">
        <f t="array" aca="1" ref="P9" ca="1">IF(D9&lt;=31,CalLoss(D9),CalGain(D9))</f>
        <v>22</v>
      </c>
      <c r="Q9" cm="1">
        <f t="array" aca="1" ref="Q9" ca="1">IF(E9&lt;=31,CalLoss(E9),CalGain(E9))</f>
        <v>20</v>
      </c>
      <c r="R9" cm="1">
        <f t="array" aca="1" ref="R9" ca="1">IF(F9&lt;=31,CalLoss(F9),CalGain(F9))</f>
        <v>8</v>
      </c>
      <c r="S9" cm="1">
        <f t="array" aca="1" ref="S9" ca="1">IF(G9&lt;=31,CalLoss(G9),CalGain(G9))</f>
        <v>8</v>
      </c>
      <c r="T9" cm="1">
        <f t="array" aca="1" ref="T9" ca="1">IF(H9&lt;=31,CalLoss(H9),CalGain(H9))</f>
        <v>12</v>
      </c>
      <c r="U9" cm="1">
        <f t="array" aca="1" ref="U9" ca="1">IF(I9&lt;=31,CalLoss(I9),CalGain(I9))</f>
        <v>6</v>
      </c>
      <c r="V9" cm="1">
        <f t="array" aca="1" ref="V9" ca="1">IF(J9&lt;=31,CalLoss(J9),CalGain(J9))</f>
        <v>11</v>
      </c>
      <c r="W9" s="1">
        <v>32767</v>
      </c>
      <c r="X9" s="1">
        <v>20690</v>
      </c>
      <c r="Y9" s="1">
        <v>950243</v>
      </c>
      <c r="Z9" s="1">
        <v>73932</v>
      </c>
      <c r="AA9" s="1">
        <v>950243</v>
      </c>
    </row>
    <row r="10" spans="1:27" x14ac:dyDescent="0.25">
      <c r="A10" s="2">
        <f t="shared" ref="A10:J24" ca="1" si="4">RANDBETWEEN(0, 31)</f>
        <v>2</v>
      </c>
      <c r="B10" s="2">
        <f t="shared" ca="1" si="4"/>
        <v>5</v>
      </c>
      <c r="C10" s="2">
        <f t="shared" ca="1" si="4"/>
        <v>13</v>
      </c>
      <c r="D10" s="2">
        <f t="shared" ca="1" si="4"/>
        <v>30</v>
      </c>
      <c r="E10" s="2">
        <f t="shared" ca="1" si="4"/>
        <v>17</v>
      </c>
      <c r="F10" s="2">
        <f t="shared" ca="1" si="4"/>
        <v>7</v>
      </c>
      <c r="G10" s="2">
        <f t="shared" ca="1" si="4"/>
        <v>24</v>
      </c>
      <c r="H10" s="2">
        <f t="shared" ca="1" si="4"/>
        <v>4</v>
      </c>
      <c r="I10" s="2">
        <f t="shared" ca="1" si="4"/>
        <v>2</v>
      </c>
      <c r="J10" s="2">
        <f t="shared" ca="1" si="4"/>
        <v>5</v>
      </c>
      <c r="K10">
        <f t="shared" ca="1" si="1"/>
        <v>-30551</v>
      </c>
      <c r="M10" cm="1">
        <f t="array" aca="1" ref="M10" ca="1">IF(A10&lt;=31,CalLoss(A10),CalGain(A10))</f>
        <v>8</v>
      </c>
      <c r="N10" cm="1">
        <f t="array" aca="1" ref="N10" ca="1">IF(B10&lt;=31,CalLoss(B10),CalGain(B10))</f>
        <v>20</v>
      </c>
      <c r="O10" cm="1">
        <f t="array" aca="1" ref="O10" ca="1">IF(C10&lt;=31,CalLoss(C10),CalGain(C10))</f>
        <v>22</v>
      </c>
      <c r="P10" cm="1">
        <f t="array" aca="1" ref="P10" ca="1">IF(D10&lt;=31,CalLoss(D10),CalGain(D10))</f>
        <v>15</v>
      </c>
      <c r="Q10" cm="1">
        <f t="array" aca="1" ref="Q10" ca="1">IF(E10&lt;=31,CalLoss(E10),CalGain(E10))</f>
        <v>17</v>
      </c>
      <c r="R10" cm="1">
        <f t="array" aca="1" ref="R10" ca="1">IF(F10&lt;=31,CalLoss(F10),CalGain(F10))</f>
        <v>28</v>
      </c>
      <c r="S10" cm="1">
        <f t="array" aca="1" ref="S10" ca="1">IF(G10&lt;=31,CalLoss(G10),CalGain(G10))</f>
        <v>3</v>
      </c>
      <c r="T10" cm="1">
        <f t="array" aca="1" ref="T10" ca="1">IF(H10&lt;=31,CalLoss(H10),CalGain(H10))</f>
        <v>4</v>
      </c>
      <c r="U10" cm="1">
        <f t="array" aca="1" ref="U10" ca="1">IF(I10&lt;=31,CalLoss(I10),CalGain(I10))</f>
        <v>8</v>
      </c>
      <c r="V10" cm="1">
        <f t="array" aca="1" ref="V10" ca="1">IF(J10&lt;=31,CalLoss(J10),CalGain(J10))</f>
        <v>20</v>
      </c>
      <c r="W10">
        <v>444</v>
      </c>
      <c r="X10">
        <v>-5</v>
      </c>
      <c r="Y10">
        <v>3276</v>
      </c>
      <c r="Z10">
        <v>943</v>
      </c>
      <c r="AA10">
        <v>943</v>
      </c>
    </row>
    <row r="11" spans="1:27" s="1" customFormat="1" x14ac:dyDescent="0.25">
      <c r="A11" s="3">
        <f ca="1">_xlfn.BITLSHIFT(RANDBETWEEN(0,31),5)</f>
        <v>192</v>
      </c>
      <c r="B11" s="3">
        <f t="shared" ref="B11:J11" ca="1" si="5">_xlfn.BITLSHIFT(RANDBETWEEN(0,31),5)</f>
        <v>608</v>
      </c>
      <c r="C11" s="3">
        <f t="shared" ca="1" si="5"/>
        <v>896</v>
      </c>
      <c r="D11" s="3">
        <f t="shared" ca="1" si="5"/>
        <v>512</v>
      </c>
      <c r="E11" s="3">
        <f t="shared" ca="1" si="5"/>
        <v>576</v>
      </c>
      <c r="F11" s="3">
        <f t="shared" ca="1" si="5"/>
        <v>256</v>
      </c>
      <c r="G11" s="3">
        <f t="shared" ca="1" si="5"/>
        <v>960</v>
      </c>
      <c r="H11" s="3">
        <f t="shared" ca="1" si="5"/>
        <v>576</v>
      </c>
      <c r="I11" s="3">
        <f t="shared" ca="1" si="5"/>
        <v>928</v>
      </c>
      <c r="J11" s="3">
        <f t="shared" ca="1" si="5"/>
        <v>512</v>
      </c>
      <c r="K11">
        <f t="shared" ca="1" si="1"/>
        <v>4474</v>
      </c>
      <c r="M11" cm="1">
        <f t="array" aca="1" ref="M11" ca="1">IF(A11&lt;=31,CalLoss(A11),CalGain(A11))</f>
        <v>6</v>
      </c>
      <c r="N11" cm="1">
        <f t="array" aca="1" ref="N11" ca="1">IF(B11&lt;=31,CalLoss(B11),CalGain(B11))</f>
        <v>19</v>
      </c>
      <c r="O11" cm="1">
        <f t="array" aca="1" ref="O11" ca="1">IF(C11&lt;=31,CalLoss(C11),CalGain(C11))</f>
        <v>28</v>
      </c>
      <c r="P11" cm="1">
        <f t="array" aca="1" ref="P11" ca="1">IF(D11&lt;=31,CalLoss(D11),CalGain(D11))</f>
        <v>16</v>
      </c>
      <c r="Q11" cm="1">
        <f t="array" aca="1" ref="Q11" ca="1">IF(E11&lt;=31,CalLoss(E11),CalGain(E11))</f>
        <v>18</v>
      </c>
      <c r="R11" cm="1">
        <f t="array" aca="1" ref="R11" ca="1">IF(F11&lt;=31,CalLoss(F11),CalGain(F11))</f>
        <v>8</v>
      </c>
      <c r="S11" cm="1">
        <f t="array" aca="1" ref="S11" ca="1">IF(G11&lt;=31,CalLoss(G11),CalGain(G11))</f>
        <v>30</v>
      </c>
      <c r="T11" cm="1">
        <f t="array" aca="1" ref="T11" ca="1">IF(H11&lt;=31,CalLoss(H11),CalGain(H11))</f>
        <v>18</v>
      </c>
      <c r="U11" cm="1">
        <f t="array" aca="1" ref="U11" ca="1">IF(I11&lt;=31,CalLoss(I11),CalGain(I11))</f>
        <v>29</v>
      </c>
      <c r="V11" cm="1">
        <f t="array" aca="1" ref="V11" ca="1">IF(J11&lt;=31,CalLoss(J11),CalGain(J11))</f>
        <v>16</v>
      </c>
      <c r="W11" s="1">
        <v>32767</v>
      </c>
      <c r="X11" s="1">
        <v>-32768</v>
      </c>
      <c r="Y11" s="1">
        <v>294903</v>
      </c>
      <c r="Z11" s="1">
        <v>-334542</v>
      </c>
      <c r="AA11" s="1">
        <v>294903</v>
      </c>
    </row>
    <row r="12" spans="1:27" x14ac:dyDescent="0.25">
      <c r="A12" s="2">
        <f t="shared" ca="1" si="4"/>
        <v>27</v>
      </c>
      <c r="B12" s="2">
        <f t="shared" ca="1" si="4"/>
        <v>22</v>
      </c>
      <c r="C12" s="2">
        <f t="shared" ca="1" si="4"/>
        <v>24</v>
      </c>
      <c r="D12" s="2">
        <f t="shared" ca="1" si="4"/>
        <v>26</v>
      </c>
      <c r="E12" s="2">
        <f t="shared" ca="1" si="4"/>
        <v>9</v>
      </c>
      <c r="F12" s="2">
        <f t="shared" ca="1" si="4"/>
        <v>6</v>
      </c>
      <c r="G12" s="2">
        <f t="shared" ca="1" si="4"/>
        <v>23</v>
      </c>
      <c r="H12" s="2">
        <f t="shared" ca="1" si="4"/>
        <v>22</v>
      </c>
      <c r="I12" s="2">
        <f t="shared" ca="1" si="4"/>
        <v>14</v>
      </c>
      <c r="J12" s="2">
        <f t="shared" ca="1" si="4"/>
        <v>24</v>
      </c>
      <c r="K12">
        <f t="shared" ca="1" si="1"/>
        <v>-13153</v>
      </c>
      <c r="M12" cm="1">
        <f t="array" aca="1" ref="M12" ca="1">IF(A12&lt;=31,CalLoss(A12),CalGain(A12))</f>
        <v>27</v>
      </c>
      <c r="N12" cm="1">
        <f t="array" aca="1" ref="N12" ca="1">IF(B12&lt;=31,CalLoss(B12),CalGain(B12))</f>
        <v>13</v>
      </c>
      <c r="O12" cm="1">
        <f t="array" aca="1" ref="O12" ca="1">IF(C12&lt;=31,CalLoss(C12),CalGain(C12))</f>
        <v>3</v>
      </c>
      <c r="P12" cm="1">
        <f t="array" aca="1" ref="P12" ca="1">IF(D12&lt;=31,CalLoss(D12),CalGain(D12))</f>
        <v>11</v>
      </c>
      <c r="Q12" cm="1">
        <f t="array" aca="1" ref="Q12" ca="1">IF(E12&lt;=31,CalLoss(E12),CalGain(E12))</f>
        <v>18</v>
      </c>
      <c r="R12" cm="1">
        <f t="array" aca="1" ref="R12" ca="1">IF(F12&lt;=31,CalLoss(F12),CalGain(F12))</f>
        <v>12</v>
      </c>
      <c r="S12" cm="1">
        <f t="array" aca="1" ref="S12" ca="1">IF(G12&lt;=31,CalLoss(G12),CalGain(G12))</f>
        <v>29</v>
      </c>
      <c r="T12" cm="1">
        <f t="array" aca="1" ref="T12" ca="1">IF(H12&lt;=31,CalLoss(H12),CalGain(H12))</f>
        <v>13</v>
      </c>
      <c r="U12" cm="1">
        <f t="array" aca="1" ref="U12" ca="1">IF(I12&lt;=31,CalLoss(I12),CalGain(I12))</f>
        <v>14</v>
      </c>
      <c r="V12" cm="1">
        <f t="array" aca="1" ref="V12" ca="1">IF(J12&lt;=31,CalLoss(J12),CalGain(J12))</f>
        <v>3</v>
      </c>
      <c r="W12">
        <v>1978</v>
      </c>
      <c r="X12">
        <v>-152</v>
      </c>
      <c r="Y12">
        <v>1213</v>
      </c>
      <c r="Z12">
        <v>-719</v>
      </c>
      <c r="AA12">
        <v>-719</v>
      </c>
    </row>
    <row r="13" spans="1:27" s="1" customFormat="1" x14ac:dyDescent="0.25">
      <c r="A13" s="3">
        <f t="shared" ref="A13:J13" ca="1" si="6">_xlfn.BITLSHIFT(RANDBETWEEN(0,31),5)</f>
        <v>576</v>
      </c>
      <c r="B13" s="3">
        <f t="shared" ca="1" si="6"/>
        <v>832</v>
      </c>
      <c r="C13" s="3">
        <f t="shared" ca="1" si="6"/>
        <v>32</v>
      </c>
      <c r="D13" s="3">
        <f t="shared" ca="1" si="6"/>
        <v>768</v>
      </c>
      <c r="E13" s="3">
        <f t="shared" ca="1" si="6"/>
        <v>576</v>
      </c>
      <c r="F13" s="3">
        <f t="shared" ca="1" si="6"/>
        <v>544</v>
      </c>
      <c r="G13" s="3">
        <f t="shared" ca="1" si="6"/>
        <v>192</v>
      </c>
      <c r="H13" s="3">
        <f t="shared" ca="1" si="6"/>
        <v>832</v>
      </c>
      <c r="I13" s="3">
        <f t="shared" ca="1" si="6"/>
        <v>928</v>
      </c>
      <c r="J13" s="3">
        <f t="shared" ca="1" si="6"/>
        <v>128</v>
      </c>
      <c r="K13">
        <f t="shared" ca="1" si="1"/>
        <v>31040</v>
      </c>
      <c r="M13" cm="1">
        <f t="array" aca="1" ref="M13" ca="1">IF(A13&lt;=31,CalLoss(A13),CalGain(A13))</f>
        <v>18</v>
      </c>
      <c r="N13" cm="1">
        <f t="array" aca="1" ref="N13" ca="1">IF(B13&lt;=31,CalLoss(B13),CalGain(B13))</f>
        <v>26</v>
      </c>
      <c r="O13" cm="1">
        <f t="array" aca="1" ref="O13" ca="1">IF(C13&lt;=31,CalLoss(C13),CalGain(C13))</f>
        <v>1</v>
      </c>
      <c r="P13" cm="1">
        <f t="array" aca="1" ref="P13" ca="1">IF(D13&lt;=31,CalLoss(D13),CalGain(D13))</f>
        <v>24</v>
      </c>
      <c r="Q13" cm="1">
        <f t="array" aca="1" ref="Q13" ca="1">IF(E13&lt;=31,CalLoss(E13),CalGain(E13))</f>
        <v>18</v>
      </c>
      <c r="R13" cm="1">
        <f t="array" aca="1" ref="R13" ca="1">IF(F13&lt;=31,CalLoss(F13),CalGain(F13))</f>
        <v>17</v>
      </c>
      <c r="S13" cm="1">
        <f t="array" aca="1" ref="S13" ca="1">IF(G13&lt;=31,CalLoss(G13),CalGain(G13))</f>
        <v>6</v>
      </c>
      <c r="T13" cm="1">
        <f t="array" aca="1" ref="T13" ca="1">IF(H13&lt;=31,CalLoss(H13),CalGain(H13))</f>
        <v>26</v>
      </c>
      <c r="U13" cm="1">
        <f t="array" aca="1" ref="U13" ca="1">IF(I13&lt;=31,CalLoss(I13),CalGain(I13))</f>
        <v>29</v>
      </c>
      <c r="V13" cm="1">
        <f t="array" aca="1" ref="V13" ca="1">IF(J13&lt;=31,CalLoss(J13),CalGain(J13))</f>
        <v>4</v>
      </c>
      <c r="W13" s="1">
        <v>-32768</v>
      </c>
      <c r="X13" s="1">
        <v>32767</v>
      </c>
      <c r="Y13" s="1">
        <v>60525</v>
      </c>
      <c r="Z13" s="1">
        <v>-3318</v>
      </c>
      <c r="AA13" s="1">
        <v>60525</v>
      </c>
    </row>
    <row r="14" spans="1:27" x14ac:dyDescent="0.25">
      <c r="A14" s="2">
        <f t="shared" ca="1" si="4"/>
        <v>18</v>
      </c>
      <c r="B14" s="2">
        <f t="shared" ca="1" si="4"/>
        <v>22</v>
      </c>
      <c r="C14" s="2">
        <f t="shared" ca="1" si="4"/>
        <v>19</v>
      </c>
      <c r="D14" s="2">
        <f t="shared" ca="1" si="4"/>
        <v>1</v>
      </c>
      <c r="E14" s="2">
        <f t="shared" ca="1" si="4"/>
        <v>21</v>
      </c>
      <c r="F14" s="2">
        <f t="shared" ca="1" si="4"/>
        <v>31</v>
      </c>
      <c r="G14" s="2">
        <f t="shared" ca="1" si="4"/>
        <v>30</v>
      </c>
      <c r="H14" s="2">
        <f t="shared" ca="1" si="4"/>
        <v>26</v>
      </c>
      <c r="I14" s="2">
        <f t="shared" ca="1" si="4"/>
        <v>8</v>
      </c>
      <c r="J14" s="2">
        <f t="shared" ca="1" si="4"/>
        <v>18</v>
      </c>
      <c r="K14">
        <f t="shared" ca="1" si="1"/>
        <v>-5159</v>
      </c>
      <c r="M14" cm="1">
        <f t="array" aca="1" ref="M14" ca="1">IF(A14&lt;=31,CalLoss(A14),CalGain(A14))</f>
        <v>9</v>
      </c>
      <c r="N14" cm="1">
        <f t="array" aca="1" ref="N14" ca="1">IF(B14&lt;=31,CalLoss(B14),CalGain(B14))</f>
        <v>13</v>
      </c>
      <c r="O14" cm="1">
        <f t="array" aca="1" ref="O14" ca="1">IF(C14&lt;=31,CalLoss(C14),CalGain(C14))</f>
        <v>25</v>
      </c>
      <c r="P14" cm="1">
        <f t="array" aca="1" ref="P14" ca="1">IF(D14&lt;=31,CalLoss(D14),CalGain(D14))</f>
        <v>16</v>
      </c>
      <c r="Q14" cm="1">
        <f t="array" aca="1" ref="Q14" ca="1">IF(E14&lt;=31,CalLoss(E14),CalGain(E14))</f>
        <v>21</v>
      </c>
      <c r="R14" cm="1">
        <f t="array" aca="1" ref="R14" ca="1">IF(F14&lt;=31,CalLoss(F14),CalGain(F14))</f>
        <v>31</v>
      </c>
      <c r="S14" cm="1">
        <f t="array" aca="1" ref="S14" ca="1">IF(G14&lt;=31,CalLoss(G14),CalGain(G14))</f>
        <v>15</v>
      </c>
      <c r="T14" cm="1">
        <f t="array" aca="1" ref="T14" ca="1">IF(H14&lt;=31,CalLoss(H14),CalGain(H14))</f>
        <v>11</v>
      </c>
      <c r="U14" cm="1">
        <f t="array" aca="1" ref="U14" ca="1">IF(I14&lt;=31,CalLoss(I14),CalGain(I14))</f>
        <v>2</v>
      </c>
      <c r="V14" cm="1">
        <f t="array" aca="1" ref="V14" ca="1">IF(J14&lt;=31,CalLoss(J14),CalGain(J14))</f>
        <v>9</v>
      </c>
      <c r="W14">
        <v>295</v>
      </c>
      <c r="X14">
        <v>15801</v>
      </c>
      <c r="Y14">
        <v>378</v>
      </c>
      <c r="Z14">
        <v>3912</v>
      </c>
      <c r="AA14">
        <v>3912</v>
      </c>
    </row>
    <row r="15" spans="1:27" s="1" customFormat="1" x14ac:dyDescent="0.25">
      <c r="A15" s="3">
        <f ca="1">_xlfn.BITLSHIFT(RANDBETWEEN(0,2),5)</f>
        <v>0</v>
      </c>
      <c r="B15" s="3">
        <f t="shared" ref="B15:J15" ca="1" si="7">_xlfn.BITLSHIFT(RANDBETWEEN(0,2),5)</f>
        <v>0</v>
      </c>
      <c r="C15" s="3">
        <f t="shared" ca="1" si="7"/>
        <v>64</v>
      </c>
      <c r="D15" s="3">
        <f t="shared" ca="1" si="7"/>
        <v>32</v>
      </c>
      <c r="E15" s="3">
        <f t="shared" ca="1" si="7"/>
        <v>64</v>
      </c>
      <c r="F15" s="3">
        <f t="shared" ca="1" si="7"/>
        <v>64</v>
      </c>
      <c r="G15" s="3">
        <f t="shared" ca="1" si="7"/>
        <v>32</v>
      </c>
      <c r="H15" s="3">
        <f t="shared" ca="1" si="7"/>
        <v>32</v>
      </c>
      <c r="I15" s="3">
        <f t="shared" ca="1" si="7"/>
        <v>64</v>
      </c>
      <c r="J15" s="3">
        <f t="shared" ca="1" si="7"/>
        <v>64</v>
      </c>
      <c r="K15">
        <f t="shared" ca="1" si="1"/>
        <v>9342</v>
      </c>
      <c r="M15" cm="1">
        <f t="array" aca="1" ref="M15" ca="1">IF(A15&lt;=31,CalLoss(A15),CalGain(A15))</f>
        <v>0</v>
      </c>
      <c r="N15" cm="1">
        <f t="array" aca="1" ref="N15" ca="1">IF(B15&lt;=31,CalLoss(B15),CalGain(B15))</f>
        <v>0</v>
      </c>
      <c r="O15" cm="1">
        <f t="array" aca="1" ref="O15" ca="1">IF(C15&lt;=31,CalLoss(C15),CalGain(C15))</f>
        <v>2</v>
      </c>
      <c r="P15" cm="1">
        <f t="array" aca="1" ref="P15" ca="1">IF(D15&lt;=31,CalLoss(D15),CalGain(D15))</f>
        <v>1</v>
      </c>
      <c r="Q15" cm="1">
        <f t="array" aca="1" ref="Q15" ca="1">IF(E15&lt;=31,CalLoss(E15),CalGain(E15))</f>
        <v>2</v>
      </c>
      <c r="R15" cm="1">
        <f t="array" aca="1" ref="R15" ca="1">IF(F15&lt;=31,CalLoss(F15),CalGain(F15))</f>
        <v>2</v>
      </c>
      <c r="S15" cm="1">
        <f t="array" aca="1" ref="S15" ca="1">IF(G15&lt;=31,CalLoss(G15),CalGain(G15))</f>
        <v>1</v>
      </c>
      <c r="T15" cm="1">
        <f t="array" aca="1" ref="T15" ca="1">IF(H15&lt;=31,CalLoss(H15),CalGain(H15))</f>
        <v>1</v>
      </c>
      <c r="U15" cm="1">
        <f t="array" aca="1" ref="U15" ca="1">IF(I15&lt;=31,CalLoss(I15),CalGain(I15))</f>
        <v>2</v>
      </c>
      <c r="V15" cm="1">
        <f t="array" aca="1" ref="V15" ca="1">IF(J15&lt;=31,CalLoss(J15),CalGain(J15))</f>
        <v>2</v>
      </c>
      <c r="W15" s="1">
        <v>5643</v>
      </c>
      <c r="X15" s="1">
        <v>-32768</v>
      </c>
      <c r="Y15" s="1">
        <v>-24852</v>
      </c>
      <c r="Z15" s="1">
        <v>31296</v>
      </c>
      <c r="AA15" s="1">
        <v>-24852</v>
      </c>
    </row>
    <row r="16" spans="1:27" x14ac:dyDescent="0.25">
      <c r="A16" s="2">
        <f t="shared" ca="1" si="4"/>
        <v>12</v>
      </c>
      <c r="B16" s="2">
        <f t="shared" ca="1" si="4"/>
        <v>16</v>
      </c>
      <c r="C16" s="2">
        <f t="shared" ca="1" si="4"/>
        <v>21</v>
      </c>
      <c r="D16" s="2">
        <f t="shared" ca="1" si="4"/>
        <v>25</v>
      </c>
      <c r="E16" s="2">
        <f t="shared" ca="1" si="4"/>
        <v>13</v>
      </c>
      <c r="F16" s="2">
        <f t="shared" ca="1" si="4"/>
        <v>6</v>
      </c>
      <c r="G16" s="2">
        <f t="shared" ca="1" si="4"/>
        <v>16</v>
      </c>
      <c r="H16" s="2">
        <f t="shared" ca="1" si="4"/>
        <v>26</v>
      </c>
      <c r="I16" s="2">
        <f t="shared" ca="1" si="4"/>
        <v>22</v>
      </c>
      <c r="J16" s="2">
        <f t="shared" ca="1" si="4"/>
        <v>2</v>
      </c>
      <c r="K16">
        <f t="shared" ca="1" si="1"/>
        <v>-12862</v>
      </c>
      <c r="M16" cm="1">
        <f t="array" aca="1" ref="M16" ca="1">IF(A16&lt;=31,CalLoss(A16),CalGain(A16))</f>
        <v>6</v>
      </c>
      <c r="N16" cm="1">
        <f t="array" aca="1" ref="N16" ca="1">IF(B16&lt;=31,CalLoss(B16),CalGain(B16))</f>
        <v>1</v>
      </c>
      <c r="O16" cm="1">
        <f t="array" aca="1" ref="O16" ca="1">IF(C16&lt;=31,CalLoss(C16),CalGain(C16))</f>
        <v>21</v>
      </c>
      <c r="P16" cm="1">
        <f t="array" aca="1" ref="P16" ca="1">IF(D16&lt;=31,CalLoss(D16),CalGain(D16))</f>
        <v>19</v>
      </c>
      <c r="Q16" cm="1">
        <f t="array" aca="1" ref="Q16" ca="1">IF(E16&lt;=31,CalLoss(E16),CalGain(E16))</f>
        <v>22</v>
      </c>
      <c r="R16" cm="1">
        <f t="array" aca="1" ref="R16" ca="1">IF(F16&lt;=31,CalLoss(F16),CalGain(F16))</f>
        <v>12</v>
      </c>
      <c r="S16" cm="1">
        <f t="array" aca="1" ref="S16" ca="1">IF(G16&lt;=31,CalLoss(G16),CalGain(G16))</f>
        <v>1</v>
      </c>
      <c r="T16" cm="1">
        <f t="array" aca="1" ref="T16" ca="1">IF(H16&lt;=31,CalLoss(H16),CalGain(H16))</f>
        <v>11</v>
      </c>
      <c r="U16" cm="1">
        <f t="array" aca="1" ref="U16" ca="1">IF(I16&lt;=31,CalLoss(I16),CalGain(I16))</f>
        <v>13</v>
      </c>
      <c r="V16" cm="1">
        <f t="array" aca="1" ref="V16" ca="1">IF(J16&lt;=31,CalLoss(J16),CalGain(J16))</f>
        <v>8</v>
      </c>
      <c r="W16">
        <v>-1228</v>
      </c>
      <c r="X16">
        <v>1634</v>
      </c>
      <c r="Y16">
        <v>-1870</v>
      </c>
      <c r="Z16">
        <v>758</v>
      </c>
      <c r="AA16">
        <v>758</v>
      </c>
    </row>
    <row r="17" spans="1:27" s="1" customFormat="1" x14ac:dyDescent="0.25">
      <c r="A17" s="3">
        <f ca="1">_xlfn.BITLSHIFT(RANDBETWEEN(0,7),5)</f>
        <v>96</v>
      </c>
      <c r="B17" s="3">
        <f t="shared" ref="B17:J17" ca="1" si="8">_xlfn.BITLSHIFT(RANDBETWEEN(0,7),5)</f>
        <v>128</v>
      </c>
      <c r="C17" s="3">
        <f t="shared" ca="1" si="8"/>
        <v>96</v>
      </c>
      <c r="D17" s="3">
        <f t="shared" ca="1" si="8"/>
        <v>128</v>
      </c>
      <c r="E17" s="3">
        <f t="shared" ca="1" si="8"/>
        <v>128</v>
      </c>
      <c r="F17" s="3">
        <f t="shared" ca="1" si="8"/>
        <v>224</v>
      </c>
      <c r="G17" s="3">
        <f t="shared" ca="1" si="8"/>
        <v>32</v>
      </c>
      <c r="H17" s="3">
        <f t="shared" ca="1" si="8"/>
        <v>96</v>
      </c>
      <c r="I17" s="3">
        <f t="shared" ca="1" si="8"/>
        <v>96</v>
      </c>
      <c r="J17" s="3">
        <f t="shared" ca="1" si="8"/>
        <v>64</v>
      </c>
      <c r="K17">
        <f t="shared" ca="1" si="1"/>
        <v>1545</v>
      </c>
      <c r="M17" cm="1">
        <f t="array" aca="1" ref="M17" ca="1">IF(A17&lt;=31,CalLoss(A17),CalGain(A17))</f>
        <v>3</v>
      </c>
      <c r="N17" cm="1">
        <f t="array" aca="1" ref="N17" ca="1">IF(B17&lt;=31,CalLoss(B17),CalGain(B17))</f>
        <v>4</v>
      </c>
      <c r="O17" cm="1">
        <f t="array" aca="1" ref="O17" ca="1">IF(C17&lt;=31,CalLoss(C17),CalGain(C17))</f>
        <v>3</v>
      </c>
      <c r="P17" cm="1">
        <f t="array" aca="1" ref="P17" ca="1">IF(D17&lt;=31,CalLoss(D17),CalGain(D17))</f>
        <v>4</v>
      </c>
      <c r="Q17" cm="1">
        <f t="array" aca="1" ref="Q17" ca="1">IF(E17&lt;=31,CalLoss(E17),CalGain(E17))</f>
        <v>4</v>
      </c>
      <c r="R17" cm="1">
        <f t="array" aca="1" ref="R17" ca="1">IF(F17&lt;=31,CalLoss(F17),CalGain(F17))</f>
        <v>7</v>
      </c>
      <c r="S17" cm="1">
        <f t="array" aca="1" ref="S17" ca="1">IF(G17&lt;=31,CalLoss(G17),CalGain(G17))</f>
        <v>1</v>
      </c>
      <c r="T17" cm="1">
        <f t="array" aca="1" ref="T17" ca="1">IF(H17&lt;=31,CalLoss(H17),CalGain(H17))</f>
        <v>3</v>
      </c>
      <c r="U17" cm="1">
        <f t="array" aca="1" ref="U17" ca="1">IF(I17&lt;=31,CalLoss(I17),CalGain(I17))</f>
        <v>3</v>
      </c>
      <c r="V17" cm="1">
        <f t="array" aca="1" ref="V17" ca="1">IF(J17&lt;=31,CalLoss(J17),CalGain(J17))</f>
        <v>2</v>
      </c>
      <c r="W17" s="1">
        <v>32767</v>
      </c>
      <c r="X17" s="1">
        <v>32767</v>
      </c>
      <c r="Y17" s="1">
        <v>98301</v>
      </c>
      <c r="Z17" s="1">
        <v>17434</v>
      </c>
      <c r="AA17" s="1">
        <v>98301</v>
      </c>
    </row>
    <row r="18" spans="1:27" x14ac:dyDescent="0.25">
      <c r="A18" s="2">
        <f t="shared" ca="1" si="4"/>
        <v>15</v>
      </c>
      <c r="B18" s="2">
        <f t="shared" ca="1" si="4"/>
        <v>6</v>
      </c>
      <c r="C18" s="2">
        <f t="shared" ca="1" si="4"/>
        <v>8</v>
      </c>
      <c r="D18" s="2">
        <f t="shared" ca="1" si="4"/>
        <v>8</v>
      </c>
      <c r="E18" s="2">
        <f t="shared" ca="1" si="4"/>
        <v>24</v>
      </c>
      <c r="F18" s="2">
        <f t="shared" ca="1" si="4"/>
        <v>12</v>
      </c>
      <c r="G18" s="2">
        <f t="shared" ca="1" si="4"/>
        <v>9</v>
      </c>
      <c r="H18" s="2">
        <f t="shared" ca="1" si="4"/>
        <v>20</v>
      </c>
      <c r="I18" s="2">
        <f t="shared" ca="1" si="4"/>
        <v>20</v>
      </c>
      <c r="J18" s="2">
        <f t="shared" ca="1" si="4"/>
        <v>17</v>
      </c>
      <c r="K18">
        <f t="shared" ca="1" si="1"/>
        <v>1556</v>
      </c>
      <c r="M18" cm="1">
        <f t="array" aca="1" ref="M18" ca="1">IF(A18&lt;=31,CalLoss(A18),CalGain(A18))</f>
        <v>30</v>
      </c>
      <c r="N18" cm="1">
        <f t="array" aca="1" ref="N18" ca="1">IF(B18&lt;=31,CalLoss(B18),CalGain(B18))</f>
        <v>12</v>
      </c>
      <c r="O18" cm="1">
        <f t="array" aca="1" ref="O18" ca="1">IF(C18&lt;=31,CalLoss(C18),CalGain(C18))</f>
        <v>2</v>
      </c>
      <c r="P18" cm="1">
        <f t="array" aca="1" ref="P18" ca="1">IF(D18&lt;=31,CalLoss(D18),CalGain(D18))</f>
        <v>2</v>
      </c>
      <c r="Q18" cm="1">
        <f t="array" aca="1" ref="Q18" ca="1">IF(E18&lt;=31,CalLoss(E18),CalGain(E18))</f>
        <v>3</v>
      </c>
      <c r="R18" cm="1">
        <f t="array" aca="1" ref="R18" ca="1">IF(F18&lt;=31,CalLoss(F18),CalGain(F18))</f>
        <v>6</v>
      </c>
      <c r="S18" cm="1">
        <f t="array" aca="1" ref="S18" ca="1">IF(G18&lt;=31,CalLoss(G18),CalGain(G18))</f>
        <v>18</v>
      </c>
      <c r="T18" cm="1">
        <f t="array" aca="1" ref="T18" ca="1">IF(H18&lt;=31,CalLoss(H18),CalGain(H18))</f>
        <v>5</v>
      </c>
      <c r="U18" cm="1">
        <f t="array" aca="1" ref="U18" ca="1">IF(I18&lt;=31,CalLoss(I18),CalGain(I18))</f>
        <v>5</v>
      </c>
      <c r="V18" cm="1">
        <f t="array" aca="1" ref="V18" ca="1">IF(J18&lt;=31,CalLoss(J18),CalGain(J18))</f>
        <v>17</v>
      </c>
      <c r="W18">
        <v>8582</v>
      </c>
      <c r="X18">
        <v>-176</v>
      </c>
      <c r="Y18">
        <v>4095</v>
      </c>
      <c r="Z18">
        <v>53</v>
      </c>
      <c r="AA18">
        <v>53</v>
      </c>
    </row>
    <row r="19" spans="1:27" s="1" customFormat="1" x14ac:dyDescent="0.25">
      <c r="A19" s="3">
        <f ca="1">_xlfn.BITLSHIFT(RANDBETWEEN(0,3),5)</f>
        <v>32</v>
      </c>
      <c r="B19" s="3">
        <f t="shared" ref="B19:J19" ca="1" si="9">_xlfn.BITLSHIFT(RANDBETWEEN(0,3),5)</f>
        <v>0</v>
      </c>
      <c r="C19" s="3">
        <f t="shared" ca="1" si="9"/>
        <v>96</v>
      </c>
      <c r="D19" s="3">
        <f t="shared" ca="1" si="9"/>
        <v>32</v>
      </c>
      <c r="E19" s="3">
        <f t="shared" ca="1" si="9"/>
        <v>0</v>
      </c>
      <c r="F19" s="3">
        <f t="shared" ca="1" si="9"/>
        <v>32</v>
      </c>
      <c r="G19" s="3">
        <f t="shared" ca="1" si="9"/>
        <v>0</v>
      </c>
      <c r="H19" s="3">
        <f t="shared" ca="1" si="9"/>
        <v>32</v>
      </c>
      <c r="I19" s="3">
        <f t="shared" ca="1" si="9"/>
        <v>32</v>
      </c>
      <c r="J19" s="3">
        <f t="shared" ca="1" si="9"/>
        <v>0</v>
      </c>
      <c r="K19">
        <f t="shared" ca="1" si="1"/>
        <v>23619</v>
      </c>
      <c r="M19" cm="1">
        <f t="array" aca="1" ref="M19" ca="1">IF(A19&lt;=31,CalLoss(A19),CalGain(A19))</f>
        <v>1</v>
      </c>
      <c r="N19" cm="1">
        <f t="array" aca="1" ref="N19" ca="1">IF(B19&lt;=31,CalLoss(B19),CalGain(B19))</f>
        <v>0</v>
      </c>
      <c r="O19" cm="1">
        <f t="array" aca="1" ref="O19" ca="1">IF(C19&lt;=31,CalLoss(C19),CalGain(C19))</f>
        <v>3</v>
      </c>
      <c r="P19" cm="1">
        <f t="array" aca="1" ref="P19" ca="1">IF(D19&lt;=31,CalLoss(D19),CalGain(D19))</f>
        <v>1</v>
      </c>
      <c r="Q19" cm="1">
        <f t="array" aca="1" ref="Q19" ca="1">IF(E19&lt;=31,CalLoss(E19),CalGain(E19))</f>
        <v>0</v>
      </c>
      <c r="R19" cm="1">
        <f t="array" aca="1" ref="R19" ca="1">IF(F19&lt;=31,CalLoss(F19),CalGain(F19))</f>
        <v>1</v>
      </c>
      <c r="S19" cm="1">
        <f t="array" aca="1" ref="S19" ca="1">IF(G19&lt;=31,CalLoss(G19),CalGain(G19))</f>
        <v>0</v>
      </c>
      <c r="T19" cm="1">
        <f t="array" aca="1" ref="T19" ca="1">IF(H19&lt;=31,CalLoss(H19),CalGain(H19))</f>
        <v>1</v>
      </c>
      <c r="U19" cm="1">
        <f t="array" aca="1" ref="U19" ca="1">IF(I19&lt;=31,CalLoss(I19),CalGain(I19))</f>
        <v>1</v>
      </c>
      <c r="V19" cm="1">
        <f t="array" aca="1" ref="V19" ca="1">IF(J19&lt;=31,CalLoss(J19),CalGain(J19))</f>
        <v>0</v>
      </c>
      <c r="W19" s="1">
        <v>-12168</v>
      </c>
      <c r="X19" s="1">
        <v>8051</v>
      </c>
      <c r="Y19" s="1">
        <v>27953</v>
      </c>
      <c r="Z19" s="1">
        <v>32767</v>
      </c>
      <c r="AA19" s="1">
        <v>27953</v>
      </c>
    </row>
    <row r="20" spans="1:27" x14ac:dyDescent="0.25">
      <c r="A20" s="2">
        <f t="shared" ca="1" si="4"/>
        <v>2</v>
      </c>
      <c r="B20" s="2">
        <f t="shared" ca="1" si="4"/>
        <v>18</v>
      </c>
      <c r="C20" s="2">
        <f t="shared" ca="1" si="4"/>
        <v>1</v>
      </c>
      <c r="D20" s="2">
        <f t="shared" ca="1" si="4"/>
        <v>13</v>
      </c>
      <c r="E20" s="2">
        <f t="shared" ca="1" si="4"/>
        <v>5</v>
      </c>
      <c r="F20" s="2">
        <f t="shared" ca="1" si="4"/>
        <v>11</v>
      </c>
      <c r="G20" s="2">
        <f t="shared" ca="1" si="4"/>
        <v>9</v>
      </c>
      <c r="H20" s="2">
        <f t="shared" ca="1" si="4"/>
        <v>5</v>
      </c>
      <c r="I20" s="2">
        <f t="shared" ca="1" si="4"/>
        <v>24</v>
      </c>
      <c r="J20" s="2">
        <f t="shared" ca="1" si="4"/>
        <v>17</v>
      </c>
      <c r="K20">
        <f t="shared" ca="1" si="1"/>
        <v>29743</v>
      </c>
      <c r="M20" cm="1">
        <f t="array" aca="1" ref="M20" ca="1">IF(A20&lt;=31,CalLoss(A20),CalGain(A20))</f>
        <v>8</v>
      </c>
      <c r="N20" cm="1">
        <f t="array" aca="1" ref="N20" ca="1">IF(B20&lt;=31,CalLoss(B20),CalGain(B20))</f>
        <v>9</v>
      </c>
      <c r="O20" cm="1">
        <f t="array" aca="1" ref="O20" ca="1">IF(C20&lt;=31,CalLoss(C20),CalGain(C20))</f>
        <v>16</v>
      </c>
      <c r="P20" cm="1">
        <f t="array" aca="1" ref="P20" ca="1">IF(D20&lt;=31,CalLoss(D20),CalGain(D20))</f>
        <v>22</v>
      </c>
      <c r="Q20" cm="1">
        <f t="array" aca="1" ref="Q20" ca="1">IF(E20&lt;=31,CalLoss(E20),CalGain(E20))</f>
        <v>20</v>
      </c>
      <c r="R20" cm="1">
        <f t="array" aca="1" ref="R20" ca="1">IF(F20&lt;=31,CalLoss(F20),CalGain(F20))</f>
        <v>26</v>
      </c>
      <c r="S20" cm="1">
        <f t="array" aca="1" ref="S20" ca="1">IF(G20&lt;=31,CalLoss(G20),CalGain(G20))</f>
        <v>18</v>
      </c>
      <c r="T20" cm="1">
        <f t="array" aca="1" ref="T20" ca="1">IF(H20&lt;=31,CalLoss(H20),CalGain(H20))</f>
        <v>20</v>
      </c>
      <c r="U20" cm="1">
        <f t="array" aca="1" ref="U20" ca="1">IF(I20&lt;=31,CalLoss(I20),CalGain(I20))</f>
        <v>3</v>
      </c>
      <c r="V20" cm="1">
        <f t="array" aca="1" ref="V20" ca="1">IF(J20&lt;=31,CalLoss(J20),CalGain(J20))</f>
        <v>17</v>
      </c>
      <c r="W20">
        <v>-1079</v>
      </c>
      <c r="X20">
        <v>-742</v>
      </c>
      <c r="Y20">
        <v>1277</v>
      </c>
      <c r="Z20">
        <v>1129</v>
      </c>
      <c r="AA20">
        <v>1129</v>
      </c>
    </row>
    <row r="21" spans="1:27" s="1" customFormat="1" x14ac:dyDescent="0.25">
      <c r="A21" s="3">
        <f ca="1">_xlfn.BITLSHIFT(RANDBETWEEN(0,3),5)</f>
        <v>32</v>
      </c>
      <c r="B21" s="3">
        <f t="shared" ref="B21:J21" ca="1" si="10">_xlfn.BITLSHIFT(RANDBETWEEN(0,3),5)</f>
        <v>0</v>
      </c>
      <c r="C21" s="3">
        <f t="shared" ca="1" si="10"/>
        <v>96</v>
      </c>
      <c r="D21" s="3">
        <f t="shared" ca="1" si="10"/>
        <v>96</v>
      </c>
      <c r="E21" s="3">
        <f t="shared" ca="1" si="10"/>
        <v>0</v>
      </c>
      <c r="F21" s="3">
        <f t="shared" ca="1" si="10"/>
        <v>64</v>
      </c>
      <c r="G21" s="3">
        <f t="shared" ca="1" si="10"/>
        <v>64</v>
      </c>
      <c r="H21" s="3">
        <f t="shared" ca="1" si="10"/>
        <v>64</v>
      </c>
      <c r="I21" s="3">
        <f t="shared" ca="1" si="10"/>
        <v>96</v>
      </c>
      <c r="J21" s="3">
        <f t="shared" ca="1" si="10"/>
        <v>96</v>
      </c>
      <c r="K21">
        <f t="shared" ca="1" si="1"/>
        <v>-23005</v>
      </c>
      <c r="M21" cm="1">
        <f t="array" aca="1" ref="M21" ca="1">IF(A21&lt;=31,CalLoss(A21),CalGain(A21))</f>
        <v>1</v>
      </c>
      <c r="N21" cm="1">
        <f t="array" aca="1" ref="N21" ca="1">IF(B21&lt;=31,CalLoss(B21),CalGain(B21))</f>
        <v>0</v>
      </c>
      <c r="O21" cm="1">
        <f t="array" aca="1" ref="O21" ca="1">IF(C21&lt;=31,CalLoss(C21),CalGain(C21))</f>
        <v>3</v>
      </c>
      <c r="P21" cm="1">
        <f t="array" aca="1" ref="P21" ca="1">IF(D21&lt;=31,CalLoss(D21),CalGain(D21))</f>
        <v>3</v>
      </c>
      <c r="Q21" cm="1">
        <f t="array" aca="1" ref="Q21" ca="1">IF(E21&lt;=31,CalLoss(E21),CalGain(E21))</f>
        <v>0</v>
      </c>
      <c r="R21" cm="1">
        <f t="array" aca="1" ref="R21" ca="1">IF(F21&lt;=31,CalLoss(F21),CalGain(F21))</f>
        <v>2</v>
      </c>
      <c r="S21" cm="1">
        <f t="array" aca="1" ref="S21" ca="1">IF(G21&lt;=31,CalLoss(G21),CalGain(G21))</f>
        <v>2</v>
      </c>
      <c r="T21" cm="1">
        <f t="array" aca="1" ref="T21" ca="1">IF(H21&lt;=31,CalLoss(H21),CalGain(H21))</f>
        <v>2</v>
      </c>
      <c r="U21" cm="1">
        <f t="array" aca="1" ref="U21" ca="1">IF(I21&lt;=31,CalLoss(I21),CalGain(I21))</f>
        <v>3</v>
      </c>
      <c r="V21" cm="1">
        <f t="array" aca="1" ref="V21" ca="1">IF(J21&lt;=31,CalLoss(J21),CalGain(J21))</f>
        <v>3</v>
      </c>
      <c r="W21" s="1">
        <v>2301</v>
      </c>
      <c r="X21" s="1">
        <v>1050</v>
      </c>
      <c r="Y21" s="1">
        <v>-2364</v>
      </c>
      <c r="Z21" s="1">
        <v>8183</v>
      </c>
      <c r="AA21" s="1">
        <v>-2364</v>
      </c>
    </row>
    <row r="22" spans="1:27" x14ac:dyDescent="0.25">
      <c r="A22" s="2">
        <f t="shared" ca="1" si="4"/>
        <v>18</v>
      </c>
      <c r="B22" s="2">
        <f t="shared" ca="1" si="4"/>
        <v>27</v>
      </c>
      <c r="C22" s="2">
        <f t="shared" ca="1" si="4"/>
        <v>13</v>
      </c>
      <c r="D22" s="2">
        <f t="shared" ca="1" si="4"/>
        <v>18</v>
      </c>
      <c r="E22" s="2">
        <f t="shared" ca="1" si="4"/>
        <v>29</v>
      </c>
      <c r="F22" s="2">
        <f t="shared" ca="1" si="4"/>
        <v>28</v>
      </c>
      <c r="G22" s="2">
        <f t="shared" ca="1" si="4"/>
        <v>5</v>
      </c>
      <c r="H22" s="2">
        <f t="shared" ca="1" si="4"/>
        <v>29</v>
      </c>
      <c r="I22" s="2">
        <f t="shared" ca="1" si="4"/>
        <v>22</v>
      </c>
      <c r="J22" s="2">
        <f t="shared" ca="1" si="4"/>
        <v>23</v>
      </c>
      <c r="K22">
        <f t="shared" ca="1" si="1"/>
        <v>-13369</v>
      </c>
      <c r="M22" cm="1">
        <f t="array" aca="1" ref="M22" ca="1">IF(A22&lt;=31,CalLoss(A22),CalGain(A22))</f>
        <v>9</v>
      </c>
      <c r="N22" cm="1">
        <f t="array" aca="1" ref="N22" ca="1">IF(B22&lt;=31,CalLoss(B22),CalGain(B22))</f>
        <v>27</v>
      </c>
      <c r="O22" cm="1">
        <f t="array" aca="1" ref="O22" ca="1">IF(C22&lt;=31,CalLoss(C22),CalGain(C22))</f>
        <v>22</v>
      </c>
      <c r="P22" cm="1">
        <f t="array" aca="1" ref="P22" ca="1">IF(D22&lt;=31,CalLoss(D22),CalGain(D22))</f>
        <v>9</v>
      </c>
      <c r="Q22" cm="1">
        <f t="array" aca="1" ref="Q22" ca="1">IF(E22&lt;=31,CalLoss(E22),CalGain(E22))</f>
        <v>23</v>
      </c>
      <c r="R22" cm="1">
        <f t="array" aca="1" ref="R22" ca="1">IF(F22&lt;=31,CalLoss(F22),CalGain(F22))</f>
        <v>7</v>
      </c>
      <c r="S22" cm="1">
        <f t="array" aca="1" ref="S22" ca="1">IF(G22&lt;=31,CalLoss(G22),CalGain(G22))</f>
        <v>20</v>
      </c>
      <c r="T22" cm="1">
        <f t="array" aca="1" ref="T22" ca="1">IF(H22&lt;=31,CalLoss(H22),CalGain(H22))</f>
        <v>23</v>
      </c>
      <c r="U22" cm="1">
        <f t="array" aca="1" ref="U22" ca="1">IF(I22&lt;=31,CalLoss(I22),CalGain(I22))</f>
        <v>13</v>
      </c>
      <c r="V22" cm="1">
        <f t="array" aca="1" ref="V22" ca="1">IF(J22&lt;=31,CalLoss(J22),CalGain(J22))</f>
        <v>29</v>
      </c>
      <c r="W22">
        <v>1115</v>
      </c>
      <c r="X22">
        <v>1721</v>
      </c>
      <c r="Y22">
        <v>-1966</v>
      </c>
      <c r="Z22">
        <v>840</v>
      </c>
      <c r="AA22">
        <v>840</v>
      </c>
    </row>
    <row r="23" spans="1:27" s="1" customFormat="1" x14ac:dyDescent="0.25">
      <c r="A23" s="3">
        <f ca="1">_xlfn.BITLSHIFT(RANDBETWEEN(3,4),5)</f>
        <v>128</v>
      </c>
      <c r="B23" s="3">
        <f t="shared" ref="B23:J23" ca="1" si="11">_xlfn.BITLSHIFT(RANDBETWEEN(3,4),5)</f>
        <v>96</v>
      </c>
      <c r="C23" s="3">
        <f t="shared" ca="1" si="11"/>
        <v>96</v>
      </c>
      <c r="D23" s="3">
        <f t="shared" ca="1" si="11"/>
        <v>96</v>
      </c>
      <c r="E23" s="3">
        <f t="shared" ca="1" si="11"/>
        <v>128</v>
      </c>
      <c r="F23" s="3">
        <f t="shared" ca="1" si="11"/>
        <v>128</v>
      </c>
      <c r="G23" s="3">
        <f t="shared" ca="1" si="11"/>
        <v>96</v>
      </c>
      <c r="H23" s="3">
        <f t="shared" ca="1" si="11"/>
        <v>128</v>
      </c>
      <c r="I23" s="3">
        <f t="shared" ca="1" si="11"/>
        <v>128</v>
      </c>
      <c r="J23" s="3">
        <f t="shared" ca="1" si="11"/>
        <v>96</v>
      </c>
      <c r="K23">
        <f t="shared" ca="1" si="1"/>
        <v>-18572</v>
      </c>
      <c r="M23" cm="1">
        <f t="array" aca="1" ref="M23" ca="1">IF(A23&lt;=31,CalLoss(A23),CalGain(A23))</f>
        <v>4</v>
      </c>
      <c r="N23" cm="1">
        <f t="array" aca="1" ref="N23" ca="1">IF(B23&lt;=31,CalLoss(B23),CalGain(B23))</f>
        <v>3</v>
      </c>
      <c r="O23" cm="1">
        <f t="array" aca="1" ref="O23" ca="1">IF(C23&lt;=31,CalLoss(C23),CalGain(C23))</f>
        <v>3</v>
      </c>
      <c r="P23" cm="1">
        <f t="array" aca="1" ref="P23" ca="1">IF(D23&lt;=31,CalLoss(D23),CalGain(D23))</f>
        <v>3</v>
      </c>
      <c r="Q23" cm="1">
        <f t="array" aca="1" ref="Q23" ca="1">IF(E23&lt;=31,CalLoss(E23),CalGain(E23))</f>
        <v>4</v>
      </c>
      <c r="R23" cm="1">
        <f t="array" aca="1" ref="R23" ca="1">IF(F23&lt;=31,CalLoss(F23),CalGain(F23))</f>
        <v>4</v>
      </c>
      <c r="S23" cm="1">
        <f t="array" aca="1" ref="S23" ca="1">IF(G23&lt;=31,CalLoss(G23),CalGain(G23))</f>
        <v>3</v>
      </c>
      <c r="T23" cm="1">
        <f t="array" aca="1" ref="T23" ca="1">IF(H23&lt;=31,CalLoss(H23),CalGain(H23))</f>
        <v>4</v>
      </c>
      <c r="U23" cm="1">
        <f t="array" aca="1" ref="U23" ca="1">IF(I23&lt;=31,CalLoss(I23),CalGain(I23))</f>
        <v>4</v>
      </c>
      <c r="V23" cm="1">
        <f t="array" aca="1" ref="V23" ca="1">IF(J23&lt;=31,CalLoss(J23),CalGain(J23))</f>
        <v>3</v>
      </c>
      <c r="W23" s="1">
        <v>-32768</v>
      </c>
      <c r="X23" s="1">
        <v>-32768</v>
      </c>
      <c r="Y23" s="1">
        <v>-121724</v>
      </c>
      <c r="Z23" s="1">
        <v>-92217</v>
      </c>
      <c r="AA23" s="1">
        <v>-121724</v>
      </c>
    </row>
    <row r="24" spans="1:27" x14ac:dyDescent="0.25">
      <c r="A24" s="2">
        <f t="shared" ca="1" si="4"/>
        <v>30</v>
      </c>
      <c r="B24" s="2">
        <f t="shared" ca="1" si="4"/>
        <v>29</v>
      </c>
      <c r="C24" s="2">
        <f t="shared" ca="1" si="4"/>
        <v>16</v>
      </c>
      <c r="D24" s="2">
        <f t="shared" ca="1" si="4"/>
        <v>9</v>
      </c>
      <c r="E24" s="2">
        <f t="shared" ca="1" si="4"/>
        <v>12</v>
      </c>
      <c r="F24" s="2">
        <f t="shared" ca="1" si="4"/>
        <v>22</v>
      </c>
      <c r="G24" s="2">
        <f t="shared" ca="1" si="4"/>
        <v>16</v>
      </c>
      <c r="H24" s="2">
        <f t="shared" ca="1" si="4"/>
        <v>6</v>
      </c>
      <c r="I24" s="2">
        <f t="shared" ca="1" si="4"/>
        <v>21</v>
      </c>
      <c r="J24" s="2">
        <f t="shared" ca="1" si="4"/>
        <v>5</v>
      </c>
      <c r="K24">
        <f t="shared" ca="1" si="1"/>
        <v>17334</v>
      </c>
      <c r="M24" cm="1">
        <f t="array" aca="1" ref="M24" ca="1">IF(A24&lt;=31,CalLoss(A24),CalGain(A24))</f>
        <v>15</v>
      </c>
      <c r="N24" cm="1">
        <f t="array" aca="1" ref="N24" ca="1">IF(B24&lt;=31,CalLoss(B24),CalGain(B24))</f>
        <v>23</v>
      </c>
      <c r="O24" cm="1">
        <f t="array" aca="1" ref="O24" ca="1">IF(C24&lt;=31,CalLoss(C24),CalGain(C24))</f>
        <v>1</v>
      </c>
      <c r="P24" cm="1">
        <f t="array" aca="1" ref="P24" ca="1">IF(D24&lt;=31,CalLoss(D24),CalGain(D24))</f>
        <v>18</v>
      </c>
      <c r="Q24" cm="1">
        <f t="array" aca="1" ref="Q24" ca="1">IF(E24&lt;=31,CalLoss(E24),CalGain(E24))</f>
        <v>6</v>
      </c>
      <c r="R24" cm="1">
        <f t="array" aca="1" ref="R24" ca="1">IF(F24&lt;=31,CalLoss(F24),CalGain(F24))</f>
        <v>13</v>
      </c>
      <c r="S24" cm="1">
        <f t="array" aca="1" ref="S24" ca="1">IF(G24&lt;=31,CalLoss(G24),CalGain(G24))</f>
        <v>1</v>
      </c>
      <c r="T24" cm="1">
        <f t="array" aca="1" ref="T24" ca="1">IF(H24&lt;=31,CalLoss(H24),CalGain(H24))</f>
        <v>12</v>
      </c>
      <c r="U24" cm="1">
        <f t="array" aca="1" ref="U24" ca="1">IF(I24&lt;=31,CalLoss(I24),CalGain(I24))</f>
        <v>21</v>
      </c>
      <c r="V24" cm="1">
        <f t="array" aca="1" ref="V24" ca="1">IF(J24&lt;=31,CalLoss(J24),CalGain(J24))</f>
        <v>20</v>
      </c>
      <c r="W24">
        <v>1717</v>
      </c>
      <c r="X24">
        <v>1096</v>
      </c>
      <c r="Y24">
        <v>-3947</v>
      </c>
      <c r="Z24">
        <v>-14450</v>
      </c>
      <c r="AA24">
        <v>-14450</v>
      </c>
    </row>
    <row r="25" spans="1:27" s="1" customFormat="1" x14ac:dyDescent="0.25">
      <c r="A25" s="3">
        <f t="shared" ref="A25:J42" ca="1" si="12">_xlfn.BITLSHIFT(RANDBETWEEN(0,31),5)</f>
        <v>768</v>
      </c>
      <c r="B25" s="3">
        <f t="shared" ca="1" si="12"/>
        <v>288</v>
      </c>
      <c r="C25" s="3">
        <f t="shared" ca="1" si="12"/>
        <v>864</v>
      </c>
      <c r="D25" s="3">
        <f t="shared" ca="1" si="12"/>
        <v>672</v>
      </c>
      <c r="E25" s="3">
        <f t="shared" ca="1" si="12"/>
        <v>416</v>
      </c>
      <c r="F25" s="3">
        <f t="shared" ca="1" si="12"/>
        <v>128</v>
      </c>
      <c r="G25" s="3">
        <f t="shared" ca="1" si="12"/>
        <v>800</v>
      </c>
      <c r="H25" s="3">
        <f t="shared" ca="1" si="12"/>
        <v>64</v>
      </c>
      <c r="I25" s="3">
        <f t="shared" ca="1" si="12"/>
        <v>864</v>
      </c>
      <c r="J25" s="3">
        <f t="shared" ca="1" si="12"/>
        <v>256</v>
      </c>
      <c r="K25">
        <f t="shared" ca="1" si="1"/>
        <v>29957</v>
      </c>
      <c r="M25" cm="1">
        <f t="array" aca="1" ref="M25" ca="1">IF(A25&lt;=31,CalLoss(A25),CalGain(A25))</f>
        <v>24</v>
      </c>
      <c r="N25" cm="1">
        <f t="array" aca="1" ref="N25" ca="1">IF(B25&lt;=31,CalLoss(B25),CalGain(B25))</f>
        <v>9</v>
      </c>
      <c r="O25" cm="1">
        <f t="array" aca="1" ref="O25" ca="1">IF(C25&lt;=31,CalLoss(C25),CalGain(C25))</f>
        <v>27</v>
      </c>
      <c r="P25" cm="1">
        <f t="array" aca="1" ref="P25" ca="1">IF(D25&lt;=31,CalLoss(D25),CalGain(D25))</f>
        <v>21</v>
      </c>
      <c r="Q25" cm="1">
        <f t="array" aca="1" ref="Q25" ca="1">IF(E25&lt;=31,CalLoss(E25),CalGain(E25))</f>
        <v>13</v>
      </c>
      <c r="R25" cm="1">
        <f t="array" aca="1" ref="R25" ca="1">IF(F25&lt;=31,CalLoss(F25),CalGain(F25))</f>
        <v>4</v>
      </c>
      <c r="S25" cm="1">
        <f t="array" aca="1" ref="S25" ca="1">IF(G25&lt;=31,CalLoss(G25),CalGain(G25))</f>
        <v>25</v>
      </c>
      <c r="T25" cm="1">
        <f t="array" aca="1" ref="T25" ca="1">IF(H25&lt;=31,CalLoss(H25),CalGain(H25))</f>
        <v>2</v>
      </c>
      <c r="U25" cm="1">
        <f t="array" aca="1" ref="U25" ca="1">IF(I25&lt;=31,CalLoss(I25),CalGain(I25))</f>
        <v>27</v>
      </c>
      <c r="V25" cm="1">
        <f t="array" aca="1" ref="V25" ca="1">IF(J25&lt;=31,CalLoss(J25),CalGain(J25))</f>
        <v>8</v>
      </c>
      <c r="W25" s="1">
        <v>-12213</v>
      </c>
      <c r="X25" s="1">
        <v>32767</v>
      </c>
      <c r="Y25" s="1">
        <v>-425984</v>
      </c>
      <c r="Z25" s="1">
        <v>64768</v>
      </c>
      <c r="AA25" s="1">
        <v>-425984</v>
      </c>
    </row>
    <row r="26" spans="1:27" s="1" customFormat="1" x14ac:dyDescent="0.25">
      <c r="A26" s="3">
        <f t="shared" ca="1" si="12"/>
        <v>352</v>
      </c>
      <c r="B26" s="3">
        <f t="shared" ca="1" si="12"/>
        <v>928</v>
      </c>
      <c r="C26" s="3">
        <f t="shared" ca="1" si="12"/>
        <v>256</v>
      </c>
      <c r="D26" s="3">
        <f t="shared" ca="1" si="12"/>
        <v>832</v>
      </c>
      <c r="E26" s="3">
        <f t="shared" ca="1" si="12"/>
        <v>992</v>
      </c>
      <c r="F26" s="3">
        <f t="shared" ca="1" si="12"/>
        <v>864</v>
      </c>
      <c r="G26" s="3">
        <f t="shared" ca="1" si="12"/>
        <v>896</v>
      </c>
      <c r="H26" s="3">
        <f t="shared" ca="1" si="12"/>
        <v>672</v>
      </c>
      <c r="I26" s="3">
        <f t="shared" ca="1" si="12"/>
        <v>64</v>
      </c>
      <c r="J26" s="3">
        <f t="shared" ca="1" si="12"/>
        <v>768</v>
      </c>
      <c r="K26">
        <f t="shared" ca="1" si="1"/>
        <v>-7620</v>
      </c>
      <c r="M26" cm="1">
        <f t="array" aca="1" ref="M26" ca="1">IF(A26&lt;=31,CalLoss(A26),CalGain(A26))</f>
        <v>11</v>
      </c>
      <c r="N26" cm="1">
        <f t="array" aca="1" ref="N26" ca="1">IF(B26&lt;=31,CalLoss(B26),CalGain(B26))</f>
        <v>29</v>
      </c>
      <c r="O26" cm="1">
        <f t="array" aca="1" ref="O26" ca="1">IF(C26&lt;=31,CalLoss(C26),CalGain(C26))</f>
        <v>8</v>
      </c>
      <c r="P26" cm="1">
        <f t="array" aca="1" ref="P26" ca="1">IF(D26&lt;=31,CalLoss(D26),CalGain(D26))</f>
        <v>26</v>
      </c>
      <c r="Q26" cm="1">
        <f t="array" aca="1" ref="Q26" ca="1">IF(E26&lt;=31,CalLoss(E26),CalGain(E26))</f>
        <v>31</v>
      </c>
      <c r="R26" cm="1">
        <f t="array" aca="1" ref="R26" ca="1">IF(F26&lt;=31,CalLoss(F26),CalGain(F26))</f>
        <v>27</v>
      </c>
      <c r="S26" cm="1">
        <f t="array" aca="1" ref="S26" ca="1">IF(G26&lt;=31,CalLoss(G26),CalGain(G26))</f>
        <v>28</v>
      </c>
      <c r="T26" cm="1">
        <f t="array" aca="1" ref="T26" ca="1">IF(H26&lt;=31,CalLoss(H26),CalGain(H26))</f>
        <v>21</v>
      </c>
      <c r="U26" cm="1">
        <f t="array" aca="1" ref="U26" ca="1">IF(I26&lt;=31,CalLoss(I26),CalGain(I26))</f>
        <v>2</v>
      </c>
      <c r="V26" cm="1">
        <f t="array" aca="1" ref="V26" ca="1">IF(J26&lt;=31,CalLoss(J26),CalGain(J26))</f>
        <v>24</v>
      </c>
      <c r="W26" s="1">
        <v>-1431</v>
      </c>
      <c r="X26" s="1">
        <v>32767</v>
      </c>
      <c r="Y26" s="1">
        <v>-393216</v>
      </c>
      <c r="Z26" s="1">
        <v>557039</v>
      </c>
      <c r="AA26" s="1">
        <v>557039</v>
      </c>
    </row>
    <row r="27" spans="1:27" s="1" customFormat="1" x14ac:dyDescent="0.25">
      <c r="A27" s="3">
        <f t="shared" ca="1" si="12"/>
        <v>384</v>
      </c>
      <c r="B27" s="3">
        <f t="shared" ca="1" si="12"/>
        <v>608</v>
      </c>
      <c r="C27" s="3">
        <f t="shared" ca="1" si="12"/>
        <v>864</v>
      </c>
      <c r="D27" s="3">
        <f t="shared" ca="1" si="12"/>
        <v>608</v>
      </c>
      <c r="E27" s="3">
        <f t="shared" ca="1" si="12"/>
        <v>544</v>
      </c>
      <c r="F27" s="3">
        <f t="shared" ca="1" si="12"/>
        <v>256</v>
      </c>
      <c r="G27" s="3">
        <f t="shared" ca="1" si="12"/>
        <v>864</v>
      </c>
      <c r="H27" s="3">
        <f t="shared" ca="1" si="12"/>
        <v>672</v>
      </c>
      <c r="I27" s="3">
        <f t="shared" ca="1" si="12"/>
        <v>448</v>
      </c>
      <c r="J27" s="3">
        <f t="shared" ca="1" si="12"/>
        <v>64</v>
      </c>
      <c r="K27">
        <f t="shared" ca="1" si="1"/>
        <v>-3228</v>
      </c>
      <c r="M27" cm="1">
        <f t="array" aca="1" ref="M27" ca="1">IF(A27&lt;=31,CalLoss(A27),CalGain(A27))</f>
        <v>12</v>
      </c>
      <c r="N27" cm="1">
        <f t="array" aca="1" ref="N27" ca="1">IF(B27&lt;=31,CalLoss(B27),CalGain(B27))</f>
        <v>19</v>
      </c>
      <c r="O27" cm="1">
        <f t="array" aca="1" ref="O27" ca="1">IF(C27&lt;=31,CalLoss(C27),CalGain(C27))</f>
        <v>27</v>
      </c>
      <c r="P27" cm="1">
        <f t="array" aca="1" ref="P27" ca="1">IF(D27&lt;=31,CalLoss(D27),CalGain(D27))</f>
        <v>19</v>
      </c>
      <c r="Q27" cm="1">
        <f t="array" aca="1" ref="Q27" ca="1">IF(E27&lt;=31,CalLoss(E27),CalGain(E27))</f>
        <v>17</v>
      </c>
      <c r="R27" cm="1">
        <f t="array" aca="1" ref="R27" ca="1">IF(F27&lt;=31,CalLoss(F27),CalGain(F27))</f>
        <v>8</v>
      </c>
      <c r="S27" cm="1">
        <f t="array" aca="1" ref="S27" ca="1">IF(G27&lt;=31,CalLoss(G27),CalGain(G27))</f>
        <v>27</v>
      </c>
      <c r="T27" cm="1">
        <f t="array" aca="1" ref="T27" ca="1">IF(H27&lt;=31,CalLoss(H27),CalGain(H27))</f>
        <v>21</v>
      </c>
      <c r="U27" cm="1">
        <f t="array" aca="1" ref="U27" ca="1">IF(I27&lt;=31,CalLoss(I27),CalGain(I27))</f>
        <v>14</v>
      </c>
      <c r="V27" cm="1">
        <f t="array" aca="1" ref="V27" ca="1">IF(J27&lt;=31,CalLoss(J27),CalGain(J27))</f>
        <v>2</v>
      </c>
      <c r="W27" s="1">
        <v>32767</v>
      </c>
      <c r="X27" s="1">
        <v>-32768</v>
      </c>
      <c r="Y27" s="1">
        <v>395960</v>
      </c>
      <c r="Z27" s="1">
        <v>491505</v>
      </c>
      <c r="AA27" s="1">
        <v>395960</v>
      </c>
    </row>
    <row r="28" spans="1:27" s="1" customFormat="1" x14ac:dyDescent="0.25">
      <c r="A28" s="3">
        <f t="shared" ca="1" si="12"/>
        <v>128</v>
      </c>
      <c r="B28" s="3">
        <f t="shared" ca="1" si="12"/>
        <v>704</v>
      </c>
      <c r="C28" s="3">
        <f t="shared" ca="1" si="12"/>
        <v>32</v>
      </c>
      <c r="D28" s="3">
        <f t="shared" ca="1" si="12"/>
        <v>800</v>
      </c>
      <c r="E28" s="3">
        <f t="shared" ca="1" si="12"/>
        <v>608</v>
      </c>
      <c r="F28" s="3">
        <f t="shared" ca="1" si="12"/>
        <v>320</v>
      </c>
      <c r="G28" s="3">
        <f t="shared" ca="1" si="12"/>
        <v>608</v>
      </c>
      <c r="H28" s="3">
        <f t="shared" ca="1" si="12"/>
        <v>864</v>
      </c>
      <c r="I28" s="3">
        <f t="shared" ca="1" si="12"/>
        <v>928</v>
      </c>
      <c r="J28" s="3">
        <f t="shared" ca="1" si="12"/>
        <v>288</v>
      </c>
      <c r="K28">
        <f t="shared" ca="1" si="1"/>
        <v>23122</v>
      </c>
      <c r="M28" cm="1">
        <f t="array" aca="1" ref="M28" ca="1">IF(A28&lt;=31,CalLoss(A28),CalGain(A28))</f>
        <v>4</v>
      </c>
      <c r="N28" cm="1">
        <f t="array" aca="1" ref="N28" ca="1">IF(B28&lt;=31,CalLoss(B28),CalGain(B28))</f>
        <v>22</v>
      </c>
      <c r="O28" cm="1">
        <f t="array" aca="1" ref="O28" ca="1">IF(C28&lt;=31,CalLoss(C28),CalGain(C28))</f>
        <v>1</v>
      </c>
      <c r="P28" cm="1">
        <f t="array" aca="1" ref="P28" ca="1">IF(D28&lt;=31,CalLoss(D28),CalGain(D28))</f>
        <v>25</v>
      </c>
      <c r="Q28" cm="1">
        <f t="array" aca="1" ref="Q28" ca="1">IF(E28&lt;=31,CalLoss(E28),CalGain(E28))</f>
        <v>19</v>
      </c>
      <c r="R28" cm="1">
        <f t="array" aca="1" ref="R28" ca="1">IF(F28&lt;=31,CalLoss(F28),CalGain(F28))</f>
        <v>10</v>
      </c>
      <c r="S28" cm="1">
        <f t="array" aca="1" ref="S28" ca="1">IF(G28&lt;=31,CalLoss(G28),CalGain(G28))</f>
        <v>19</v>
      </c>
      <c r="T28" cm="1">
        <f t="array" aca="1" ref="T28" ca="1">IF(H28&lt;=31,CalLoss(H28),CalGain(H28))</f>
        <v>27</v>
      </c>
      <c r="U28" cm="1">
        <f t="array" aca="1" ref="U28" ca="1">IF(I28&lt;=31,CalLoss(I28),CalGain(I28))</f>
        <v>29</v>
      </c>
      <c r="V28" cm="1">
        <f t="array" aca="1" ref="V28" ca="1">IF(J28&lt;=31,CalLoss(J28),CalGain(J28))</f>
        <v>9</v>
      </c>
      <c r="W28" s="1">
        <v>-32768</v>
      </c>
      <c r="X28" s="1">
        <v>-32768</v>
      </c>
      <c r="Y28" s="1">
        <v>-245610</v>
      </c>
      <c r="Z28" s="1">
        <v>-50</v>
      </c>
      <c r="AA28" s="1">
        <v>-50</v>
      </c>
    </row>
    <row r="29" spans="1:27" x14ac:dyDescent="0.25">
      <c r="A29" s="2">
        <f t="shared" ref="A29:J29" ca="1" si="13">RANDBETWEEN(0, 31)</f>
        <v>14</v>
      </c>
      <c r="B29" s="2">
        <f t="shared" ca="1" si="13"/>
        <v>1</v>
      </c>
      <c r="C29" s="2">
        <f t="shared" ca="1" si="13"/>
        <v>16</v>
      </c>
      <c r="D29" s="2">
        <f t="shared" ca="1" si="13"/>
        <v>18</v>
      </c>
      <c r="E29" s="2">
        <f t="shared" ca="1" si="13"/>
        <v>27</v>
      </c>
      <c r="F29" s="2">
        <f t="shared" ca="1" si="13"/>
        <v>10</v>
      </c>
      <c r="G29" s="2">
        <f t="shared" ca="1" si="13"/>
        <v>26</v>
      </c>
      <c r="H29" s="2">
        <f t="shared" ca="1" si="13"/>
        <v>26</v>
      </c>
      <c r="I29" s="2">
        <f t="shared" ca="1" si="13"/>
        <v>13</v>
      </c>
      <c r="J29" s="2">
        <f t="shared" ca="1" si="13"/>
        <v>1</v>
      </c>
      <c r="K29">
        <f t="shared" ca="1" si="1"/>
        <v>1423</v>
      </c>
      <c r="M29" cm="1">
        <f t="array" aca="1" ref="M29" ca="1">IF(A29&lt;=31,CalLoss(A29),CalGain(A29))</f>
        <v>14</v>
      </c>
      <c r="N29" cm="1">
        <f t="array" aca="1" ref="N29" ca="1">IF(B29&lt;=31,CalLoss(B29),CalGain(B29))</f>
        <v>16</v>
      </c>
      <c r="O29" cm="1">
        <f t="array" aca="1" ref="O29" ca="1">IF(C29&lt;=31,CalLoss(C29),CalGain(C29))</f>
        <v>1</v>
      </c>
      <c r="P29" cm="1">
        <f t="array" aca="1" ref="P29" ca="1">IF(D29&lt;=31,CalLoss(D29),CalGain(D29))</f>
        <v>9</v>
      </c>
      <c r="Q29" cm="1">
        <f t="array" aca="1" ref="Q29" ca="1">IF(E29&lt;=31,CalLoss(E29),CalGain(E29))</f>
        <v>27</v>
      </c>
      <c r="R29" cm="1">
        <f t="array" aca="1" ref="R29" ca="1">IF(F29&lt;=31,CalLoss(F29),CalGain(F29))</f>
        <v>10</v>
      </c>
      <c r="S29" cm="1">
        <f t="array" aca="1" ref="S29" ca="1">IF(G29&lt;=31,CalLoss(G29),CalGain(G29))</f>
        <v>11</v>
      </c>
      <c r="T29" cm="1">
        <f t="array" aca="1" ref="T29" ca="1">IF(H29&lt;=31,CalLoss(H29),CalGain(H29))</f>
        <v>11</v>
      </c>
      <c r="U29" cm="1">
        <f t="array" aca="1" ref="U29" ca="1">IF(I29&lt;=31,CalLoss(I29),CalGain(I29))</f>
        <v>22</v>
      </c>
      <c r="V29" cm="1">
        <f t="array" aca="1" ref="V29" ca="1">IF(J29&lt;=31,CalLoss(J29),CalGain(J29))</f>
        <v>16</v>
      </c>
      <c r="W29">
        <v>10044</v>
      </c>
      <c r="X29">
        <v>-3311</v>
      </c>
      <c r="Y29">
        <v>8612</v>
      </c>
      <c r="Z29">
        <v>-2730</v>
      </c>
      <c r="AA29">
        <v>8612</v>
      </c>
    </row>
    <row r="30" spans="1:27" s="1" customFormat="1" x14ac:dyDescent="0.25">
      <c r="A30" s="3">
        <f t="shared" ca="1" si="12"/>
        <v>32</v>
      </c>
      <c r="B30" s="3">
        <f t="shared" ca="1" si="12"/>
        <v>0</v>
      </c>
      <c r="C30" s="3">
        <f t="shared" ca="1" si="12"/>
        <v>192</v>
      </c>
      <c r="D30" s="3">
        <f t="shared" ca="1" si="12"/>
        <v>448</v>
      </c>
      <c r="E30" s="3">
        <f t="shared" ca="1" si="12"/>
        <v>0</v>
      </c>
      <c r="F30" s="3">
        <f t="shared" ca="1" si="12"/>
        <v>704</v>
      </c>
      <c r="G30" s="3">
        <f t="shared" ca="1" si="12"/>
        <v>960</v>
      </c>
      <c r="H30" s="3">
        <f t="shared" ca="1" si="12"/>
        <v>320</v>
      </c>
      <c r="I30" s="3">
        <f t="shared" ca="1" si="12"/>
        <v>96</v>
      </c>
      <c r="J30" s="3">
        <f t="shared" ca="1" si="12"/>
        <v>704</v>
      </c>
      <c r="K30">
        <f t="shared" ca="1" si="1"/>
        <v>-15093</v>
      </c>
      <c r="M30" cm="1">
        <f t="array" aca="1" ref="M30" ca="1">IF(A30&lt;=31,CalLoss(A30),CalGain(A30))</f>
        <v>1</v>
      </c>
      <c r="N30" cm="1">
        <f t="array" aca="1" ref="N30" ca="1">IF(B30&lt;=31,CalLoss(B30),CalGain(B30))</f>
        <v>0</v>
      </c>
      <c r="O30" cm="1">
        <f t="array" aca="1" ref="O30" ca="1">IF(C30&lt;=31,CalLoss(C30),CalGain(C30))</f>
        <v>6</v>
      </c>
      <c r="P30" cm="1">
        <f t="array" aca="1" ref="P30" ca="1">IF(D30&lt;=31,CalLoss(D30),CalGain(D30))</f>
        <v>14</v>
      </c>
      <c r="Q30" cm="1">
        <f t="array" aca="1" ref="Q30" ca="1">IF(E30&lt;=31,CalLoss(E30),CalGain(E30))</f>
        <v>0</v>
      </c>
      <c r="R30" cm="1">
        <f t="array" aca="1" ref="R30" ca="1">IF(F30&lt;=31,CalLoss(F30),CalGain(F30))</f>
        <v>22</v>
      </c>
      <c r="S30" cm="1">
        <f t="array" aca="1" ref="S30" ca="1">IF(G30&lt;=31,CalLoss(G30),CalGain(G30))</f>
        <v>30</v>
      </c>
      <c r="T30" cm="1">
        <f t="array" aca="1" ref="T30" ca="1">IF(H30&lt;=31,CalLoss(H30),CalGain(H30))</f>
        <v>10</v>
      </c>
      <c r="U30" cm="1">
        <f t="array" aca="1" ref="U30" ca="1">IF(I30&lt;=31,CalLoss(I30),CalGain(I30))</f>
        <v>3</v>
      </c>
      <c r="V30" cm="1">
        <f t="array" aca="1" ref="V30" ca="1">IF(J30&lt;=31,CalLoss(J30),CalGain(J30))</f>
        <v>22</v>
      </c>
      <c r="W30" s="1">
        <v>32560</v>
      </c>
      <c r="X30" s="1">
        <v>32767</v>
      </c>
      <c r="Y30" s="1">
        <v>229369</v>
      </c>
      <c r="Z30" s="1">
        <v>-786432</v>
      </c>
      <c r="AA30" s="1">
        <v>-786432</v>
      </c>
    </row>
    <row r="31" spans="1:27" x14ac:dyDescent="0.25">
      <c r="A31" s="2">
        <f t="shared" ref="A31:J31" ca="1" si="14">RANDBETWEEN(0, 31)</f>
        <v>11</v>
      </c>
      <c r="B31" s="2">
        <f t="shared" ca="1" si="14"/>
        <v>15</v>
      </c>
      <c r="C31" s="2">
        <f t="shared" ca="1" si="14"/>
        <v>0</v>
      </c>
      <c r="D31" s="2">
        <f t="shared" ca="1" si="14"/>
        <v>27</v>
      </c>
      <c r="E31" s="2">
        <f t="shared" ca="1" si="14"/>
        <v>15</v>
      </c>
      <c r="F31" s="2">
        <f t="shared" ca="1" si="14"/>
        <v>4</v>
      </c>
      <c r="G31" s="2">
        <f t="shared" ca="1" si="14"/>
        <v>31</v>
      </c>
      <c r="H31" s="2">
        <f t="shared" ca="1" si="14"/>
        <v>16</v>
      </c>
      <c r="I31" s="2">
        <f t="shared" ca="1" si="14"/>
        <v>20</v>
      </c>
      <c r="J31" s="2">
        <f t="shared" ca="1" si="14"/>
        <v>7</v>
      </c>
      <c r="K31">
        <f t="shared" ca="1" si="1"/>
        <v>1898</v>
      </c>
      <c r="M31" cm="1">
        <f t="array" aca="1" ref="M31" ca="1">IF(A31&lt;=31,CalLoss(A31),CalGain(A31))</f>
        <v>26</v>
      </c>
      <c r="N31" cm="1">
        <f t="array" aca="1" ref="N31" ca="1">IF(B31&lt;=31,CalLoss(B31),CalGain(B31))</f>
        <v>30</v>
      </c>
      <c r="O31" cm="1">
        <f t="array" aca="1" ref="O31" ca="1">IF(C31&lt;=31,CalLoss(C31),CalGain(C31))</f>
        <v>0</v>
      </c>
      <c r="P31" cm="1">
        <f t="array" aca="1" ref="P31" ca="1">IF(D31&lt;=31,CalLoss(D31),CalGain(D31))</f>
        <v>27</v>
      </c>
      <c r="Q31" cm="1">
        <f t="array" aca="1" ref="Q31" ca="1">IF(E31&lt;=31,CalLoss(E31),CalGain(E31))</f>
        <v>30</v>
      </c>
      <c r="R31" cm="1">
        <f t="array" aca="1" ref="R31" ca="1">IF(F31&lt;=31,CalLoss(F31),CalGain(F31))</f>
        <v>4</v>
      </c>
      <c r="S31" cm="1">
        <f t="array" aca="1" ref="S31" ca="1">IF(G31&lt;=31,CalLoss(G31),CalGain(G31))</f>
        <v>31</v>
      </c>
      <c r="T31" cm="1">
        <f t="array" aca="1" ref="T31" ca="1">IF(H31&lt;=31,CalLoss(H31),CalGain(H31))</f>
        <v>1</v>
      </c>
      <c r="U31" cm="1">
        <f t="array" aca="1" ref="U31" ca="1">IF(I31&lt;=31,CalLoss(I31),CalGain(I31))</f>
        <v>5</v>
      </c>
      <c r="V31" cm="1">
        <f t="array" aca="1" ref="V31" ca="1">IF(J31&lt;=31,CalLoss(J31),CalGain(J31))</f>
        <v>28</v>
      </c>
      <c r="W31">
        <v>254</v>
      </c>
      <c r="X31">
        <v>597</v>
      </c>
      <c r="Y31">
        <v>2018</v>
      </c>
      <c r="Z31">
        <v>-142</v>
      </c>
      <c r="AA31">
        <v>2018</v>
      </c>
    </row>
    <row r="32" spans="1:27" s="1" customFormat="1" x14ac:dyDescent="0.25">
      <c r="A32" s="3">
        <f t="shared" ca="1" si="12"/>
        <v>800</v>
      </c>
      <c r="B32" s="3">
        <f t="shared" ca="1" si="12"/>
        <v>0</v>
      </c>
      <c r="C32" s="3">
        <f t="shared" ca="1" si="12"/>
        <v>416</v>
      </c>
      <c r="D32" s="3">
        <f t="shared" ca="1" si="12"/>
        <v>160</v>
      </c>
      <c r="E32" s="3">
        <f t="shared" ca="1" si="12"/>
        <v>96</v>
      </c>
      <c r="F32" s="3">
        <f t="shared" ca="1" si="12"/>
        <v>832</v>
      </c>
      <c r="G32" s="3">
        <f t="shared" ca="1" si="12"/>
        <v>320</v>
      </c>
      <c r="H32" s="3">
        <f t="shared" ca="1" si="12"/>
        <v>608</v>
      </c>
      <c r="I32" s="3">
        <f t="shared" ca="1" si="12"/>
        <v>192</v>
      </c>
      <c r="J32" s="3">
        <f t="shared" ca="1" si="12"/>
        <v>320</v>
      </c>
      <c r="K32">
        <f t="shared" ca="1" si="1"/>
        <v>27667</v>
      </c>
      <c r="M32" cm="1">
        <f t="array" aca="1" ref="M32" ca="1">IF(A32&lt;=31,CalLoss(A32),CalGain(A32))</f>
        <v>25</v>
      </c>
      <c r="N32" cm="1">
        <f t="array" aca="1" ref="N32" ca="1">IF(B32&lt;=31,CalLoss(B32),CalGain(B32))</f>
        <v>0</v>
      </c>
      <c r="O32" cm="1">
        <f t="array" aca="1" ref="O32" ca="1">IF(C32&lt;=31,CalLoss(C32),CalGain(C32))</f>
        <v>13</v>
      </c>
      <c r="P32" cm="1">
        <f t="array" aca="1" ref="P32" ca="1">IF(D32&lt;=31,CalLoss(D32),CalGain(D32))</f>
        <v>5</v>
      </c>
      <c r="Q32" cm="1">
        <f t="array" aca="1" ref="Q32" ca="1">IF(E32&lt;=31,CalLoss(E32),CalGain(E32))</f>
        <v>3</v>
      </c>
      <c r="R32" cm="1">
        <f t="array" aca="1" ref="R32" ca="1">IF(F32&lt;=31,CalLoss(F32),CalGain(F32))</f>
        <v>26</v>
      </c>
      <c r="S32" cm="1">
        <f t="array" aca="1" ref="S32" ca="1">IF(G32&lt;=31,CalLoss(G32),CalGain(G32))</f>
        <v>10</v>
      </c>
      <c r="T32" cm="1">
        <f t="array" aca="1" ref="T32" ca="1">IF(H32&lt;=31,CalLoss(H32),CalGain(H32))</f>
        <v>19</v>
      </c>
      <c r="U32" cm="1">
        <f t="array" aca="1" ref="U32" ca="1">IF(I32&lt;=31,CalLoss(I32),CalGain(I32))</f>
        <v>6</v>
      </c>
      <c r="V32" cm="1">
        <f t="array" aca="1" ref="V32" ca="1">IF(J32&lt;=31,CalLoss(J32),CalGain(J32))</f>
        <v>10</v>
      </c>
      <c r="W32" s="1">
        <v>-32768</v>
      </c>
      <c r="X32" s="1">
        <v>-32768</v>
      </c>
      <c r="Y32" s="1">
        <v>110990</v>
      </c>
      <c r="Z32" s="1">
        <v>-78735</v>
      </c>
      <c r="AA32" s="1">
        <v>-78735</v>
      </c>
    </row>
    <row r="33" spans="1:27" x14ac:dyDescent="0.25">
      <c r="A33" s="2">
        <f t="shared" ref="A33:J33" ca="1" si="15">RANDBETWEEN(0, 31)</f>
        <v>5</v>
      </c>
      <c r="B33" s="2">
        <f t="shared" ca="1" si="15"/>
        <v>16</v>
      </c>
      <c r="C33" s="2">
        <f t="shared" ca="1" si="15"/>
        <v>2</v>
      </c>
      <c r="D33" s="2">
        <f t="shared" ca="1" si="15"/>
        <v>1</v>
      </c>
      <c r="E33" s="2">
        <f t="shared" ca="1" si="15"/>
        <v>11</v>
      </c>
      <c r="F33" s="2">
        <f t="shared" ca="1" si="15"/>
        <v>28</v>
      </c>
      <c r="G33" s="2">
        <f t="shared" ca="1" si="15"/>
        <v>2</v>
      </c>
      <c r="H33" s="2">
        <f t="shared" ca="1" si="15"/>
        <v>7</v>
      </c>
      <c r="I33" s="2">
        <f t="shared" ca="1" si="15"/>
        <v>25</v>
      </c>
      <c r="J33" s="2">
        <f t="shared" ca="1" si="15"/>
        <v>10</v>
      </c>
      <c r="K33">
        <f t="shared" ca="1" si="1"/>
        <v>8815</v>
      </c>
      <c r="M33" cm="1">
        <f t="array" aca="1" ref="M33" ca="1">IF(A33&lt;=31,CalLoss(A33),CalGain(A33))</f>
        <v>20</v>
      </c>
      <c r="N33" cm="1">
        <f t="array" aca="1" ref="N33" ca="1">IF(B33&lt;=31,CalLoss(B33),CalGain(B33))</f>
        <v>1</v>
      </c>
      <c r="O33" cm="1">
        <f t="array" aca="1" ref="O33" ca="1">IF(C33&lt;=31,CalLoss(C33),CalGain(C33))</f>
        <v>8</v>
      </c>
      <c r="P33" cm="1">
        <f t="array" aca="1" ref="P33" ca="1">IF(D33&lt;=31,CalLoss(D33),CalGain(D33))</f>
        <v>16</v>
      </c>
      <c r="Q33" cm="1">
        <f t="array" aca="1" ref="Q33" ca="1">IF(E33&lt;=31,CalLoss(E33),CalGain(E33))</f>
        <v>26</v>
      </c>
      <c r="R33" cm="1">
        <f t="array" aca="1" ref="R33" ca="1">IF(F33&lt;=31,CalLoss(F33),CalGain(F33))</f>
        <v>7</v>
      </c>
      <c r="S33" cm="1">
        <f t="array" aca="1" ref="S33" ca="1">IF(G33&lt;=31,CalLoss(G33),CalGain(G33))</f>
        <v>8</v>
      </c>
      <c r="T33" cm="1">
        <f t="array" aca="1" ref="T33" ca="1">IF(H33&lt;=31,CalLoss(H33),CalGain(H33))</f>
        <v>28</v>
      </c>
      <c r="U33" cm="1">
        <f t="array" aca="1" ref="U33" ca="1">IF(I33&lt;=31,CalLoss(I33),CalGain(I33))</f>
        <v>19</v>
      </c>
      <c r="V33" cm="1">
        <f t="array" aca="1" ref="V33" ca="1">IF(J33&lt;=31,CalLoss(J33),CalGain(J33))</f>
        <v>10</v>
      </c>
      <c r="W33">
        <v>-2233</v>
      </c>
      <c r="X33">
        <v>-987</v>
      </c>
      <c r="Y33">
        <v>-312</v>
      </c>
      <c r="Z33">
        <v>-43</v>
      </c>
      <c r="AA33">
        <v>-312</v>
      </c>
    </row>
    <row r="34" spans="1:27" s="1" customFormat="1" x14ac:dyDescent="0.25">
      <c r="A34" s="3">
        <f t="shared" ca="1" si="12"/>
        <v>736</v>
      </c>
      <c r="B34" s="3">
        <f t="shared" ca="1" si="12"/>
        <v>736</v>
      </c>
      <c r="C34" s="3">
        <f t="shared" ca="1" si="12"/>
        <v>32</v>
      </c>
      <c r="D34" s="3">
        <f t="shared" ca="1" si="12"/>
        <v>960</v>
      </c>
      <c r="E34" s="3">
        <f t="shared" ca="1" si="12"/>
        <v>128</v>
      </c>
      <c r="F34" s="3">
        <f t="shared" ca="1" si="12"/>
        <v>800</v>
      </c>
      <c r="G34" s="3">
        <f t="shared" ca="1" si="12"/>
        <v>928</v>
      </c>
      <c r="H34" s="3">
        <f t="shared" ca="1" si="12"/>
        <v>96</v>
      </c>
      <c r="I34" s="3">
        <f t="shared" ca="1" si="12"/>
        <v>128</v>
      </c>
      <c r="J34" s="3">
        <f t="shared" ca="1" si="12"/>
        <v>576</v>
      </c>
      <c r="K34">
        <f t="shared" ca="1" si="1"/>
        <v>14343</v>
      </c>
      <c r="M34" cm="1">
        <f t="array" aca="1" ref="M34" ca="1">IF(A34&lt;=31,CalLoss(A34),CalGain(A34))</f>
        <v>23</v>
      </c>
      <c r="N34" cm="1">
        <f t="array" aca="1" ref="N34" ca="1">IF(B34&lt;=31,CalLoss(B34),CalGain(B34))</f>
        <v>23</v>
      </c>
      <c r="O34" cm="1">
        <f t="array" aca="1" ref="O34" ca="1">IF(C34&lt;=31,CalLoss(C34),CalGain(C34))</f>
        <v>1</v>
      </c>
      <c r="P34" cm="1">
        <f t="array" aca="1" ref="P34" ca="1">IF(D34&lt;=31,CalLoss(D34),CalGain(D34))</f>
        <v>30</v>
      </c>
      <c r="Q34" cm="1">
        <f t="array" aca="1" ref="Q34" ca="1">IF(E34&lt;=31,CalLoss(E34),CalGain(E34))</f>
        <v>4</v>
      </c>
      <c r="R34" cm="1">
        <f t="array" aca="1" ref="R34" ca="1">IF(F34&lt;=31,CalLoss(F34),CalGain(F34))</f>
        <v>25</v>
      </c>
      <c r="S34" cm="1">
        <f t="array" aca="1" ref="S34" ca="1">IF(G34&lt;=31,CalLoss(G34),CalGain(G34))</f>
        <v>29</v>
      </c>
      <c r="T34" cm="1">
        <f t="array" aca="1" ref="T34" ca="1">IF(H34&lt;=31,CalLoss(H34),CalGain(H34))</f>
        <v>3</v>
      </c>
      <c r="U34" cm="1">
        <f t="array" aca="1" ref="U34" ca="1">IF(I34&lt;=31,CalLoss(I34),CalGain(I34))</f>
        <v>4</v>
      </c>
      <c r="V34" cm="1">
        <f t="array" aca="1" ref="V34" ca="1">IF(J34&lt;=31,CalLoss(J34),CalGain(J34))</f>
        <v>18</v>
      </c>
      <c r="W34" s="1">
        <v>-32768</v>
      </c>
      <c r="X34" s="1">
        <v>32767</v>
      </c>
      <c r="Y34" s="1">
        <v>-32768</v>
      </c>
      <c r="Z34" s="1">
        <v>-782</v>
      </c>
      <c r="AA34" s="1">
        <v>-782</v>
      </c>
    </row>
    <row r="35" spans="1:27" x14ac:dyDescent="0.25">
      <c r="A35" s="2">
        <f t="shared" ref="A35:J35" ca="1" si="16">RANDBETWEEN(0, 31)</f>
        <v>19</v>
      </c>
      <c r="B35" s="2">
        <f t="shared" ca="1" si="16"/>
        <v>30</v>
      </c>
      <c r="C35" s="2">
        <f t="shared" ca="1" si="16"/>
        <v>3</v>
      </c>
      <c r="D35" s="2">
        <f t="shared" ca="1" si="16"/>
        <v>29</v>
      </c>
      <c r="E35" s="2">
        <f t="shared" ca="1" si="16"/>
        <v>16</v>
      </c>
      <c r="F35" s="2">
        <f t="shared" ca="1" si="16"/>
        <v>3</v>
      </c>
      <c r="G35" s="2">
        <f t="shared" ca="1" si="16"/>
        <v>31</v>
      </c>
      <c r="H35" s="2">
        <f t="shared" ca="1" si="16"/>
        <v>29</v>
      </c>
      <c r="I35" s="2">
        <f t="shared" ca="1" si="16"/>
        <v>1</v>
      </c>
      <c r="J35" s="2">
        <f t="shared" ca="1" si="16"/>
        <v>13</v>
      </c>
      <c r="K35">
        <f t="shared" ca="1" si="1"/>
        <v>-25198</v>
      </c>
      <c r="M35" cm="1">
        <f t="array" aca="1" ref="M35" ca="1">IF(A35&lt;=31,CalLoss(A35),CalGain(A35))</f>
        <v>25</v>
      </c>
      <c r="N35" cm="1">
        <f t="array" aca="1" ref="N35" ca="1">IF(B35&lt;=31,CalLoss(B35),CalGain(B35))</f>
        <v>15</v>
      </c>
      <c r="O35" cm="1">
        <f t="array" aca="1" ref="O35" ca="1">IF(C35&lt;=31,CalLoss(C35),CalGain(C35))</f>
        <v>24</v>
      </c>
      <c r="P35" cm="1">
        <f t="array" aca="1" ref="P35" ca="1">IF(D35&lt;=31,CalLoss(D35),CalGain(D35))</f>
        <v>23</v>
      </c>
      <c r="Q35" cm="1">
        <f t="array" aca="1" ref="Q35" ca="1">IF(E35&lt;=31,CalLoss(E35),CalGain(E35))</f>
        <v>1</v>
      </c>
      <c r="R35" cm="1">
        <f t="array" aca="1" ref="R35" ca="1">IF(F35&lt;=31,CalLoss(F35),CalGain(F35))</f>
        <v>24</v>
      </c>
      <c r="S35" cm="1">
        <f t="array" aca="1" ref="S35" ca="1">IF(G35&lt;=31,CalLoss(G35),CalGain(G35))</f>
        <v>31</v>
      </c>
      <c r="T35" cm="1">
        <f t="array" aca="1" ref="T35" ca="1">IF(H35&lt;=31,CalLoss(H35),CalGain(H35))</f>
        <v>23</v>
      </c>
      <c r="U35" cm="1">
        <f t="array" aca="1" ref="U35" ca="1">IF(I35&lt;=31,CalLoss(I35),CalGain(I35))</f>
        <v>16</v>
      </c>
      <c r="V35" cm="1">
        <f t="array" aca="1" ref="V35" ca="1">IF(J35&lt;=31,CalLoss(J35),CalGain(J35))</f>
        <v>22</v>
      </c>
      <c r="W35">
        <v>-350</v>
      </c>
      <c r="X35">
        <v>394</v>
      </c>
      <c r="Y35">
        <v>-2730</v>
      </c>
      <c r="Z35">
        <v>-34</v>
      </c>
      <c r="AA35">
        <v>-2730</v>
      </c>
    </row>
    <row r="36" spans="1:27" s="1" customFormat="1" x14ac:dyDescent="0.25">
      <c r="A36" s="3">
        <f t="shared" ca="1" si="12"/>
        <v>608</v>
      </c>
      <c r="B36" s="3">
        <f t="shared" ca="1" si="12"/>
        <v>256</v>
      </c>
      <c r="C36" s="3">
        <f t="shared" ca="1" si="12"/>
        <v>544</v>
      </c>
      <c r="D36" s="3">
        <f t="shared" ca="1" si="12"/>
        <v>160</v>
      </c>
      <c r="E36" s="3">
        <f t="shared" ca="1" si="12"/>
        <v>32</v>
      </c>
      <c r="F36" s="3">
        <f t="shared" ca="1" si="12"/>
        <v>320</v>
      </c>
      <c r="G36" s="3">
        <f t="shared" ca="1" si="12"/>
        <v>0</v>
      </c>
      <c r="H36" s="3">
        <f t="shared" ca="1" si="12"/>
        <v>672</v>
      </c>
      <c r="I36" s="3">
        <f t="shared" ca="1" si="12"/>
        <v>96</v>
      </c>
      <c r="J36" s="3">
        <f t="shared" ca="1" si="12"/>
        <v>352</v>
      </c>
      <c r="K36">
        <f t="shared" ca="1" si="1"/>
        <v>22474</v>
      </c>
      <c r="M36" cm="1">
        <f t="array" aca="1" ref="M36" ca="1">IF(A36&lt;=31,CalLoss(A36),CalGain(A36))</f>
        <v>19</v>
      </c>
      <c r="N36" cm="1">
        <f t="array" aca="1" ref="N36" ca="1">IF(B36&lt;=31,CalLoss(B36),CalGain(B36))</f>
        <v>8</v>
      </c>
      <c r="O36" cm="1">
        <f t="array" aca="1" ref="O36" ca="1">IF(C36&lt;=31,CalLoss(C36),CalGain(C36))</f>
        <v>17</v>
      </c>
      <c r="P36" cm="1">
        <f t="array" aca="1" ref="P36" ca="1">IF(D36&lt;=31,CalLoss(D36),CalGain(D36))</f>
        <v>5</v>
      </c>
      <c r="Q36" cm="1">
        <f t="array" aca="1" ref="Q36" ca="1">IF(E36&lt;=31,CalLoss(E36),CalGain(E36))</f>
        <v>1</v>
      </c>
      <c r="R36" cm="1">
        <f t="array" aca="1" ref="R36" ca="1">IF(F36&lt;=31,CalLoss(F36),CalGain(F36))</f>
        <v>10</v>
      </c>
      <c r="S36" cm="1">
        <f t="array" aca="1" ref="S36" ca="1">IF(G36&lt;=31,CalLoss(G36),CalGain(G36))</f>
        <v>0</v>
      </c>
      <c r="T36" cm="1">
        <f t="array" aca="1" ref="T36" ca="1">IF(H36&lt;=31,CalLoss(H36),CalGain(H36))</f>
        <v>21</v>
      </c>
      <c r="U36" cm="1">
        <f t="array" aca="1" ref="U36" ca="1">IF(I36&lt;=31,CalLoss(I36),CalGain(I36))</f>
        <v>3</v>
      </c>
      <c r="V36" cm="1">
        <f t="array" aca="1" ref="V36" ca="1">IF(J36&lt;=31,CalLoss(J36),CalGain(J36))</f>
        <v>11</v>
      </c>
      <c r="W36" s="1">
        <v>32767</v>
      </c>
      <c r="X36" s="1">
        <v>-32768</v>
      </c>
      <c r="Y36" s="1">
        <v>-31008</v>
      </c>
      <c r="Z36" s="1">
        <v>-5940</v>
      </c>
      <c r="AA36" s="1">
        <v>-5940</v>
      </c>
    </row>
    <row r="37" spans="1:27" x14ac:dyDescent="0.25">
      <c r="A37" s="2">
        <f t="shared" ref="A37:J37" ca="1" si="17">RANDBETWEEN(0, 31)</f>
        <v>3</v>
      </c>
      <c r="B37" s="2">
        <f t="shared" ca="1" si="17"/>
        <v>25</v>
      </c>
      <c r="C37" s="2">
        <f t="shared" ca="1" si="17"/>
        <v>15</v>
      </c>
      <c r="D37" s="2">
        <f t="shared" ca="1" si="17"/>
        <v>30</v>
      </c>
      <c r="E37" s="2">
        <f t="shared" ca="1" si="17"/>
        <v>17</v>
      </c>
      <c r="F37" s="2">
        <f t="shared" ca="1" si="17"/>
        <v>20</v>
      </c>
      <c r="G37" s="2">
        <f t="shared" ca="1" si="17"/>
        <v>6</v>
      </c>
      <c r="H37" s="2">
        <f t="shared" ca="1" si="17"/>
        <v>6</v>
      </c>
      <c r="I37" s="2">
        <f t="shared" ca="1" si="17"/>
        <v>28</v>
      </c>
      <c r="J37" s="2">
        <f t="shared" ca="1" si="17"/>
        <v>23</v>
      </c>
      <c r="K37">
        <f t="shared" ca="1" si="1"/>
        <v>5914</v>
      </c>
      <c r="M37" cm="1">
        <f t="array" aca="1" ref="M37" ca="1">IF(A37&lt;=31,CalLoss(A37),CalGain(A37))</f>
        <v>24</v>
      </c>
      <c r="N37" cm="1">
        <f t="array" aca="1" ref="N37" ca="1">IF(B37&lt;=31,CalLoss(B37),CalGain(B37))</f>
        <v>19</v>
      </c>
      <c r="O37" cm="1">
        <f t="array" aca="1" ref="O37" ca="1">IF(C37&lt;=31,CalLoss(C37),CalGain(C37))</f>
        <v>30</v>
      </c>
      <c r="P37" cm="1">
        <f t="array" aca="1" ref="P37" ca="1">IF(D37&lt;=31,CalLoss(D37),CalGain(D37))</f>
        <v>15</v>
      </c>
      <c r="Q37" cm="1">
        <f t="array" aca="1" ref="Q37" ca="1">IF(E37&lt;=31,CalLoss(E37),CalGain(E37))</f>
        <v>17</v>
      </c>
      <c r="R37" cm="1">
        <f t="array" aca="1" ref="R37" ca="1">IF(F37&lt;=31,CalLoss(F37),CalGain(F37))</f>
        <v>5</v>
      </c>
      <c r="S37" cm="1">
        <f t="array" aca="1" ref="S37" ca="1">IF(G37&lt;=31,CalLoss(G37),CalGain(G37))</f>
        <v>12</v>
      </c>
      <c r="T37" cm="1">
        <f t="array" aca="1" ref="T37" ca="1">IF(H37&lt;=31,CalLoss(H37),CalGain(H37))</f>
        <v>12</v>
      </c>
      <c r="U37" cm="1">
        <f t="array" aca="1" ref="U37" ca="1">IF(I37&lt;=31,CalLoss(I37),CalGain(I37))</f>
        <v>7</v>
      </c>
      <c r="V37" cm="1">
        <f t="array" aca="1" ref="V37" ca="1">IF(J37&lt;=31,CalLoss(J37),CalGain(J37))</f>
        <v>29</v>
      </c>
      <c r="W37">
        <v>-2846</v>
      </c>
      <c r="X37">
        <v>-2055</v>
      </c>
      <c r="Y37">
        <v>-355</v>
      </c>
      <c r="Z37">
        <v>-83</v>
      </c>
      <c r="AA37">
        <v>-355</v>
      </c>
    </row>
    <row r="38" spans="1:27" s="1" customFormat="1" x14ac:dyDescent="0.25">
      <c r="A38" s="3">
        <f t="shared" ca="1" si="12"/>
        <v>128</v>
      </c>
      <c r="B38" s="3">
        <f t="shared" ca="1" si="12"/>
        <v>288</v>
      </c>
      <c r="C38" s="3">
        <f t="shared" ca="1" si="12"/>
        <v>512</v>
      </c>
      <c r="D38" s="3">
        <f t="shared" ca="1" si="12"/>
        <v>832</v>
      </c>
      <c r="E38" s="3">
        <f t="shared" ca="1" si="12"/>
        <v>736</v>
      </c>
      <c r="F38" s="3">
        <f t="shared" ca="1" si="12"/>
        <v>608</v>
      </c>
      <c r="G38" s="3">
        <f t="shared" ca="1" si="12"/>
        <v>0</v>
      </c>
      <c r="H38" s="3">
        <f t="shared" ca="1" si="12"/>
        <v>416</v>
      </c>
      <c r="I38" s="3">
        <f t="shared" ca="1" si="12"/>
        <v>800</v>
      </c>
      <c r="J38" s="3">
        <f t="shared" ca="1" si="12"/>
        <v>736</v>
      </c>
      <c r="K38">
        <f t="shared" ca="1" si="1"/>
        <v>17899</v>
      </c>
      <c r="M38" cm="1">
        <f t="array" aca="1" ref="M38" ca="1">IF(A38&lt;=31,CalLoss(A38),CalGain(A38))</f>
        <v>4</v>
      </c>
      <c r="N38" cm="1">
        <f t="array" aca="1" ref="N38" ca="1">IF(B38&lt;=31,CalLoss(B38),CalGain(B38))</f>
        <v>9</v>
      </c>
      <c r="O38" cm="1">
        <f t="array" aca="1" ref="O38" ca="1">IF(C38&lt;=31,CalLoss(C38),CalGain(C38))</f>
        <v>16</v>
      </c>
      <c r="P38" cm="1">
        <f t="array" aca="1" ref="P38" ca="1">IF(D38&lt;=31,CalLoss(D38),CalGain(D38))</f>
        <v>26</v>
      </c>
      <c r="Q38" cm="1">
        <f t="array" aca="1" ref="Q38" ca="1">IF(E38&lt;=31,CalLoss(E38),CalGain(E38))</f>
        <v>23</v>
      </c>
      <c r="R38" cm="1">
        <f t="array" aca="1" ref="R38" ca="1">IF(F38&lt;=31,CalLoss(F38),CalGain(F38))</f>
        <v>19</v>
      </c>
      <c r="S38" cm="1">
        <f t="array" aca="1" ref="S38" ca="1">IF(G38&lt;=31,CalLoss(G38),CalGain(G38))</f>
        <v>0</v>
      </c>
      <c r="T38" cm="1">
        <f t="array" aca="1" ref="T38" ca="1">IF(H38&lt;=31,CalLoss(H38),CalGain(H38))</f>
        <v>13</v>
      </c>
      <c r="U38" cm="1">
        <f t="array" aca="1" ref="U38" ca="1">IF(I38&lt;=31,CalLoss(I38),CalGain(I38))</f>
        <v>25</v>
      </c>
      <c r="V38" cm="1">
        <f t="array" aca="1" ref="V38" ca="1">IF(J38&lt;=31,CalLoss(J38),CalGain(J38))</f>
        <v>23</v>
      </c>
      <c r="W38" s="1">
        <v>32767</v>
      </c>
      <c r="X38" s="1">
        <v>-32768</v>
      </c>
      <c r="Y38" s="1">
        <v>884709</v>
      </c>
      <c r="Z38" s="1">
        <v>-819200</v>
      </c>
      <c r="AA38" s="1">
        <v>-819200</v>
      </c>
    </row>
    <row r="39" spans="1:27" x14ac:dyDescent="0.25">
      <c r="A39" s="2">
        <f t="shared" ref="A39:J39" ca="1" si="18">RANDBETWEEN(0, 31)</f>
        <v>7</v>
      </c>
      <c r="B39" s="2">
        <f t="shared" ca="1" si="18"/>
        <v>30</v>
      </c>
      <c r="C39" s="2">
        <f t="shared" ca="1" si="18"/>
        <v>21</v>
      </c>
      <c r="D39" s="2">
        <f t="shared" ca="1" si="18"/>
        <v>4</v>
      </c>
      <c r="E39" s="2">
        <f t="shared" ca="1" si="18"/>
        <v>8</v>
      </c>
      <c r="F39" s="2">
        <f t="shared" ca="1" si="18"/>
        <v>28</v>
      </c>
      <c r="G39" s="2">
        <f t="shared" ca="1" si="18"/>
        <v>19</v>
      </c>
      <c r="H39" s="2">
        <f t="shared" ca="1" si="18"/>
        <v>23</v>
      </c>
      <c r="I39" s="2">
        <f t="shared" ca="1" si="18"/>
        <v>28</v>
      </c>
      <c r="J39" s="2">
        <f t="shared" ca="1" si="18"/>
        <v>9</v>
      </c>
      <c r="K39">
        <f t="shared" ca="1" si="1"/>
        <v>-19502</v>
      </c>
      <c r="M39" cm="1">
        <f t="array" aca="1" ref="M39" ca="1">IF(A39&lt;=31,CalLoss(A39),CalGain(A39))</f>
        <v>28</v>
      </c>
      <c r="N39" cm="1">
        <f t="array" aca="1" ref="N39" ca="1">IF(B39&lt;=31,CalLoss(B39),CalGain(B39))</f>
        <v>15</v>
      </c>
      <c r="O39" cm="1">
        <f t="array" aca="1" ref="O39" ca="1">IF(C39&lt;=31,CalLoss(C39),CalGain(C39))</f>
        <v>21</v>
      </c>
      <c r="P39" cm="1">
        <f t="array" aca="1" ref="P39" ca="1">IF(D39&lt;=31,CalLoss(D39),CalGain(D39))</f>
        <v>4</v>
      </c>
      <c r="Q39" cm="1">
        <f t="array" aca="1" ref="Q39" ca="1">IF(E39&lt;=31,CalLoss(E39),CalGain(E39))</f>
        <v>2</v>
      </c>
      <c r="R39" cm="1">
        <f t="array" aca="1" ref="R39" ca="1">IF(F39&lt;=31,CalLoss(F39),CalGain(F39))</f>
        <v>7</v>
      </c>
      <c r="S39" cm="1">
        <f t="array" aca="1" ref="S39" ca="1">IF(G39&lt;=31,CalLoss(G39),CalGain(G39))</f>
        <v>25</v>
      </c>
      <c r="T39" cm="1">
        <f t="array" aca="1" ref="T39" ca="1">IF(H39&lt;=31,CalLoss(H39),CalGain(H39))</f>
        <v>29</v>
      </c>
      <c r="U39" cm="1">
        <f t="array" aca="1" ref="U39" ca="1">IF(I39&lt;=31,CalLoss(I39),CalGain(I39))</f>
        <v>7</v>
      </c>
      <c r="V39" cm="1">
        <f t="array" aca="1" ref="V39" ca="1">IF(J39&lt;=31,CalLoss(J39),CalGain(J39))</f>
        <v>18</v>
      </c>
      <c r="W39">
        <v>754</v>
      </c>
      <c r="X39">
        <v>-1703</v>
      </c>
      <c r="Y39">
        <v>2978</v>
      </c>
      <c r="Z39">
        <v>-1260</v>
      </c>
      <c r="AA39">
        <v>2978</v>
      </c>
    </row>
    <row r="40" spans="1:27" s="1" customFormat="1" x14ac:dyDescent="0.25">
      <c r="A40" s="3">
        <f t="shared" ca="1" si="12"/>
        <v>992</v>
      </c>
      <c r="B40" s="3">
        <f t="shared" ca="1" si="12"/>
        <v>352</v>
      </c>
      <c r="C40" s="3">
        <f t="shared" ca="1" si="12"/>
        <v>832</v>
      </c>
      <c r="D40" s="3">
        <f t="shared" ca="1" si="12"/>
        <v>256</v>
      </c>
      <c r="E40" s="3">
        <f t="shared" ca="1" si="12"/>
        <v>160</v>
      </c>
      <c r="F40" s="3">
        <f t="shared" ca="1" si="12"/>
        <v>640</v>
      </c>
      <c r="G40" s="3">
        <f t="shared" ca="1" si="12"/>
        <v>992</v>
      </c>
      <c r="H40" s="3">
        <f t="shared" ca="1" si="12"/>
        <v>384</v>
      </c>
      <c r="I40" s="3">
        <f t="shared" ca="1" si="12"/>
        <v>96</v>
      </c>
      <c r="J40" s="3">
        <f t="shared" ca="1" si="12"/>
        <v>800</v>
      </c>
      <c r="K40">
        <f t="shared" ca="1" si="1"/>
        <v>28096</v>
      </c>
      <c r="M40" cm="1">
        <f t="array" aca="1" ref="M40" ca="1">IF(A40&lt;=31,CalLoss(A40),CalGain(A40))</f>
        <v>31</v>
      </c>
      <c r="N40" cm="1">
        <f t="array" aca="1" ref="N40" ca="1">IF(B40&lt;=31,CalLoss(B40),CalGain(B40))</f>
        <v>11</v>
      </c>
      <c r="O40" cm="1">
        <f t="array" aca="1" ref="O40" ca="1">IF(C40&lt;=31,CalLoss(C40),CalGain(C40))</f>
        <v>26</v>
      </c>
      <c r="P40" cm="1">
        <f t="array" aca="1" ref="P40" ca="1">IF(D40&lt;=31,CalLoss(D40),CalGain(D40))</f>
        <v>8</v>
      </c>
      <c r="Q40" cm="1">
        <f t="array" aca="1" ref="Q40" ca="1">IF(E40&lt;=31,CalLoss(E40),CalGain(E40))</f>
        <v>5</v>
      </c>
      <c r="R40" cm="1">
        <f t="array" aca="1" ref="R40" ca="1">IF(F40&lt;=31,CalLoss(F40),CalGain(F40))</f>
        <v>20</v>
      </c>
      <c r="S40" cm="1">
        <f t="array" aca="1" ref="S40" ca="1">IF(G40&lt;=31,CalLoss(G40),CalGain(G40))</f>
        <v>31</v>
      </c>
      <c r="T40" cm="1">
        <f t="array" aca="1" ref="T40" ca="1">IF(H40&lt;=31,CalLoss(H40),CalGain(H40))</f>
        <v>12</v>
      </c>
      <c r="U40" cm="1">
        <f t="array" aca="1" ref="U40" ca="1">IF(I40&lt;=31,CalLoss(I40),CalGain(I40))</f>
        <v>3</v>
      </c>
      <c r="V40" cm="1">
        <f t="array" aca="1" ref="V40" ca="1">IF(J40&lt;=31,CalLoss(J40),CalGain(J40))</f>
        <v>25</v>
      </c>
      <c r="W40" s="1">
        <v>32767</v>
      </c>
      <c r="X40" s="1">
        <v>32767</v>
      </c>
      <c r="Y40" s="1">
        <v>1015777</v>
      </c>
      <c r="Z40" s="1">
        <v>-90216</v>
      </c>
      <c r="AA40" s="1">
        <v>-90216</v>
      </c>
    </row>
    <row r="41" spans="1:27" x14ac:dyDescent="0.25">
      <c r="A41" s="2">
        <f t="shared" ref="A41:J41" ca="1" si="19">RANDBETWEEN(0, 31)</f>
        <v>28</v>
      </c>
      <c r="B41" s="2">
        <f t="shared" ca="1" si="19"/>
        <v>17</v>
      </c>
      <c r="C41" s="2">
        <f t="shared" ca="1" si="19"/>
        <v>18</v>
      </c>
      <c r="D41" s="2">
        <f t="shared" ca="1" si="19"/>
        <v>2</v>
      </c>
      <c r="E41" s="2">
        <f t="shared" ca="1" si="19"/>
        <v>2</v>
      </c>
      <c r="F41" s="2">
        <f t="shared" ca="1" si="19"/>
        <v>3</v>
      </c>
      <c r="G41" s="2">
        <f t="shared" ca="1" si="19"/>
        <v>3</v>
      </c>
      <c r="H41" s="2">
        <f t="shared" ca="1" si="19"/>
        <v>11</v>
      </c>
      <c r="I41" s="2">
        <f t="shared" ca="1" si="19"/>
        <v>19</v>
      </c>
      <c r="J41" s="2">
        <f t="shared" ca="1" si="19"/>
        <v>15</v>
      </c>
      <c r="K41">
        <f t="shared" ca="1" si="1"/>
        <v>8065</v>
      </c>
      <c r="M41" cm="1">
        <f t="array" aca="1" ref="M41" ca="1">IF(A41&lt;=31,CalLoss(A41),CalGain(A41))</f>
        <v>7</v>
      </c>
      <c r="N41" cm="1">
        <f t="array" aca="1" ref="N41" ca="1">IF(B41&lt;=31,CalLoss(B41),CalGain(B41))</f>
        <v>17</v>
      </c>
      <c r="O41" cm="1">
        <f t="array" aca="1" ref="O41" ca="1">IF(C41&lt;=31,CalLoss(C41),CalGain(C41))</f>
        <v>9</v>
      </c>
      <c r="P41" cm="1">
        <f t="array" aca="1" ref="P41" ca="1">IF(D41&lt;=31,CalLoss(D41),CalGain(D41))</f>
        <v>8</v>
      </c>
      <c r="Q41" cm="1">
        <f t="array" aca="1" ref="Q41" ca="1">IF(E41&lt;=31,CalLoss(E41),CalGain(E41))</f>
        <v>8</v>
      </c>
      <c r="R41" cm="1">
        <f t="array" aca="1" ref="R41" ca="1">IF(F41&lt;=31,CalLoss(F41),CalGain(F41))</f>
        <v>24</v>
      </c>
      <c r="S41" cm="1">
        <f t="array" aca="1" ref="S41" ca="1">IF(G41&lt;=31,CalLoss(G41),CalGain(G41))</f>
        <v>24</v>
      </c>
      <c r="T41" cm="1">
        <f t="array" aca="1" ref="T41" ca="1">IF(H41&lt;=31,CalLoss(H41),CalGain(H41))</f>
        <v>26</v>
      </c>
      <c r="U41" cm="1">
        <f t="array" aca="1" ref="U41" ca="1">IF(I41&lt;=31,CalLoss(I41),CalGain(I41))</f>
        <v>25</v>
      </c>
      <c r="V41" cm="1">
        <f t="array" aca="1" ref="V41" ca="1">IF(J41&lt;=31,CalLoss(J41),CalGain(J41))</f>
        <v>30</v>
      </c>
      <c r="W41">
        <v>265</v>
      </c>
      <c r="X41">
        <v>448</v>
      </c>
      <c r="Y41">
        <v>32767</v>
      </c>
      <c r="Z41">
        <v>-40</v>
      </c>
      <c r="AA41">
        <v>32767</v>
      </c>
    </row>
    <row r="42" spans="1:27" s="1" customFormat="1" x14ac:dyDescent="0.25">
      <c r="A42" s="3">
        <f t="shared" ca="1" si="12"/>
        <v>384</v>
      </c>
      <c r="B42" s="3">
        <f t="shared" ca="1" si="12"/>
        <v>768</v>
      </c>
      <c r="C42" s="3">
        <f t="shared" ca="1" si="12"/>
        <v>928</v>
      </c>
      <c r="D42" s="3">
        <f t="shared" ca="1" si="12"/>
        <v>32</v>
      </c>
      <c r="E42" s="3">
        <f t="shared" ca="1" si="12"/>
        <v>320</v>
      </c>
      <c r="F42" s="3">
        <f t="shared" ca="1" si="12"/>
        <v>192</v>
      </c>
      <c r="G42" s="3">
        <f t="shared" ca="1" si="12"/>
        <v>192</v>
      </c>
      <c r="H42" s="3">
        <f t="shared" ca="1" si="12"/>
        <v>192</v>
      </c>
      <c r="I42" s="3">
        <f t="shared" ca="1" si="12"/>
        <v>448</v>
      </c>
      <c r="J42" s="3">
        <f t="shared" ca="1" si="12"/>
        <v>960</v>
      </c>
      <c r="K42">
        <f t="shared" ca="1" si="1"/>
        <v>-28368</v>
      </c>
      <c r="M42" cm="1">
        <f t="array" aca="1" ref="M42" ca="1">IF(A42&lt;=31,CalLoss(A42),CalGain(A42))</f>
        <v>12</v>
      </c>
      <c r="N42" cm="1">
        <f t="array" aca="1" ref="N42" ca="1">IF(B42&lt;=31,CalLoss(B42),CalGain(B42))</f>
        <v>24</v>
      </c>
      <c r="O42" cm="1">
        <f t="array" aca="1" ref="O42" ca="1">IF(C42&lt;=31,CalLoss(C42),CalGain(C42))</f>
        <v>29</v>
      </c>
      <c r="P42" cm="1">
        <f t="array" aca="1" ref="P42" ca="1">IF(D42&lt;=31,CalLoss(D42),CalGain(D42))</f>
        <v>1</v>
      </c>
      <c r="Q42" cm="1">
        <f t="array" aca="1" ref="Q42" ca="1">IF(E42&lt;=31,CalLoss(E42),CalGain(E42))</f>
        <v>10</v>
      </c>
      <c r="R42" cm="1">
        <f t="array" aca="1" ref="R42" ca="1">IF(F42&lt;=31,CalLoss(F42),CalGain(F42))</f>
        <v>6</v>
      </c>
      <c r="S42" cm="1">
        <f t="array" aca="1" ref="S42" ca="1">IF(G42&lt;=31,CalLoss(G42),CalGain(G42))</f>
        <v>6</v>
      </c>
      <c r="T42" cm="1">
        <f t="array" aca="1" ref="T42" ca="1">IF(H42&lt;=31,CalLoss(H42),CalGain(H42))</f>
        <v>6</v>
      </c>
      <c r="U42" cm="1">
        <f t="array" aca="1" ref="U42" ca="1">IF(I42&lt;=31,CalLoss(I42),CalGain(I42))</f>
        <v>14</v>
      </c>
      <c r="V42" cm="1">
        <f t="array" aca="1" ref="V42" ca="1">IF(J42&lt;=31,CalLoss(J42),CalGain(J42))</f>
        <v>30</v>
      </c>
      <c r="W42" s="1">
        <v>-32768</v>
      </c>
      <c r="X42" s="1">
        <v>-32768</v>
      </c>
      <c r="Y42" s="1">
        <v>12216</v>
      </c>
      <c r="Z42" s="1">
        <v>-1256</v>
      </c>
      <c r="AA42" s="1">
        <v>-1256</v>
      </c>
    </row>
    <row r="43" spans="1:27" x14ac:dyDescent="0.25">
      <c r="A43" s="2">
        <f t="shared" ref="A43:J43" ca="1" si="20">RANDBETWEEN(0, 31)</f>
        <v>6</v>
      </c>
      <c r="B43" s="2">
        <f t="shared" ca="1" si="20"/>
        <v>25</v>
      </c>
      <c r="C43" s="2">
        <f t="shared" ca="1" si="20"/>
        <v>17</v>
      </c>
      <c r="D43" s="2">
        <f t="shared" ca="1" si="20"/>
        <v>4</v>
      </c>
      <c r="E43" s="2">
        <f t="shared" ca="1" si="20"/>
        <v>15</v>
      </c>
      <c r="F43" s="2">
        <f t="shared" ca="1" si="20"/>
        <v>0</v>
      </c>
      <c r="G43" s="2">
        <f t="shared" ca="1" si="20"/>
        <v>17</v>
      </c>
      <c r="H43" s="2">
        <f t="shared" ca="1" si="20"/>
        <v>2</v>
      </c>
      <c r="I43" s="2">
        <f t="shared" ca="1" si="20"/>
        <v>2</v>
      </c>
      <c r="J43" s="2">
        <f t="shared" ca="1" si="20"/>
        <v>30</v>
      </c>
      <c r="K43">
        <f t="shared" ca="1" si="1"/>
        <v>-14907</v>
      </c>
      <c r="M43" cm="1">
        <f t="array" aca="1" ref="M43" ca="1">IF(A43&lt;=31,CalLoss(A43),CalGain(A43))</f>
        <v>12</v>
      </c>
      <c r="N43" cm="1">
        <f t="array" aca="1" ref="N43" ca="1">IF(B43&lt;=31,CalLoss(B43),CalGain(B43))</f>
        <v>19</v>
      </c>
      <c r="O43" cm="1">
        <f t="array" aca="1" ref="O43" ca="1">IF(C43&lt;=31,CalLoss(C43),CalGain(C43))</f>
        <v>17</v>
      </c>
      <c r="P43" cm="1">
        <f t="array" aca="1" ref="P43" ca="1">IF(D43&lt;=31,CalLoss(D43),CalGain(D43))</f>
        <v>4</v>
      </c>
      <c r="Q43" cm="1">
        <f t="array" aca="1" ref="Q43" ca="1">IF(E43&lt;=31,CalLoss(E43),CalGain(E43))</f>
        <v>30</v>
      </c>
      <c r="R43" cm="1">
        <f t="array" aca="1" ref="R43" ca="1">IF(F43&lt;=31,CalLoss(F43),CalGain(F43))</f>
        <v>0</v>
      </c>
      <c r="S43" cm="1">
        <f t="array" aca="1" ref="S43" ca="1">IF(G43&lt;=31,CalLoss(G43),CalGain(G43))</f>
        <v>17</v>
      </c>
      <c r="T43" cm="1">
        <f t="array" aca="1" ref="T43" ca="1">IF(H43&lt;=31,CalLoss(H43),CalGain(H43))</f>
        <v>8</v>
      </c>
      <c r="U43" cm="1">
        <f t="array" aca="1" ref="U43" ca="1">IF(I43&lt;=31,CalLoss(I43),CalGain(I43))</f>
        <v>8</v>
      </c>
      <c r="V43" cm="1">
        <f t="array" aca="1" ref="V43" ca="1">IF(J43&lt;=31,CalLoss(J43),CalGain(J43))</f>
        <v>15</v>
      </c>
      <c r="W43">
        <v>4446</v>
      </c>
      <c r="X43">
        <v>-277</v>
      </c>
      <c r="Y43">
        <v>294</v>
      </c>
      <c r="Z43">
        <v>42</v>
      </c>
      <c r="AA43">
        <v>294</v>
      </c>
    </row>
    <row r="44" spans="1:27" s="1" customFormat="1" x14ac:dyDescent="0.25">
      <c r="A44" s="3">
        <f ca="1">_xlfn.BITLSHIFT(RANDBETWEEN(20,31),5)</f>
        <v>960</v>
      </c>
      <c r="B44" s="3">
        <f t="shared" ref="B44:J44" ca="1" si="21">_xlfn.BITLSHIFT(RANDBETWEEN(20,31),5)</f>
        <v>864</v>
      </c>
      <c r="C44" s="3">
        <f t="shared" ca="1" si="21"/>
        <v>864</v>
      </c>
      <c r="D44" s="3">
        <f t="shared" ca="1" si="21"/>
        <v>992</v>
      </c>
      <c r="E44" s="3">
        <f t="shared" ca="1" si="21"/>
        <v>928</v>
      </c>
      <c r="F44" s="3">
        <f t="shared" ca="1" si="21"/>
        <v>736</v>
      </c>
      <c r="G44" s="3">
        <f t="shared" ca="1" si="21"/>
        <v>960</v>
      </c>
      <c r="H44" s="3">
        <f t="shared" ca="1" si="21"/>
        <v>928</v>
      </c>
      <c r="I44" s="3">
        <f t="shared" ca="1" si="21"/>
        <v>704</v>
      </c>
      <c r="J44" s="3">
        <f t="shared" ca="1" si="21"/>
        <v>768</v>
      </c>
      <c r="K44">
        <f t="shared" ca="1" si="1"/>
        <v>6604</v>
      </c>
      <c r="M44" cm="1">
        <f t="array" aca="1" ref="M44" ca="1">IF(A44&lt;=31,CalLoss(A44),CalGain(A44))</f>
        <v>30</v>
      </c>
      <c r="N44" cm="1">
        <f t="array" aca="1" ref="N44" ca="1">IF(B44&lt;=31,CalLoss(B44),CalGain(B44))</f>
        <v>27</v>
      </c>
      <c r="O44" cm="1">
        <f t="array" aca="1" ref="O44" ca="1">IF(C44&lt;=31,CalLoss(C44),CalGain(C44))</f>
        <v>27</v>
      </c>
      <c r="P44" cm="1">
        <f t="array" aca="1" ref="P44" ca="1">IF(D44&lt;=31,CalLoss(D44),CalGain(D44))</f>
        <v>31</v>
      </c>
      <c r="Q44" cm="1">
        <f t="array" aca="1" ref="Q44" ca="1">IF(E44&lt;=31,CalLoss(E44),CalGain(E44))</f>
        <v>29</v>
      </c>
      <c r="R44" cm="1">
        <f t="array" aca="1" ref="R44" ca="1">IF(F44&lt;=31,CalLoss(F44),CalGain(F44))</f>
        <v>23</v>
      </c>
      <c r="S44" cm="1">
        <f t="array" aca="1" ref="S44" ca="1">IF(G44&lt;=31,CalLoss(G44),CalGain(G44))</f>
        <v>30</v>
      </c>
      <c r="T44" cm="1">
        <f t="array" aca="1" ref="T44" ca="1">IF(H44&lt;=31,CalLoss(H44),CalGain(H44))</f>
        <v>29</v>
      </c>
      <c r="U44" cm="1">
        <f t="array" aca="1" ref="U44" ca="1">IF(I44&lt;=31,CalLoss(I44),CalGain(I44))</f>
        <v>22</v>
      </c>
      <c r="V44" cm="1">
        <f t="array" aca="1" ref="V44" ca="1">IF(J44&lt;=31,CalLoss(J44),CalGain(J44))</f>
        <v>24</v>
      </c>
      <c r="W44" s="1">
        <v>-32768</v>
      </c>
      <c r="X44" s="1">
        <v>32767</v>
      </c>
      <c r="Y44" s="1">
        <v>-950272</v>
      </c>
      <c r="Z44" s="1">
        <v>3740</v>
      </c>
      <c r="AA44" s="1">
        <v>3740</v>
      </c>
    </row>
    <row r="45" spans="1:27" x14ac:dyDescent="0.25">
      <c r="A45" s="2">
        <f t="shared" ref="A45:J45" ca="1" si="22">RANDBETWEEN(0, 31)</f>
        <v>11</v>
      </c>
      <c r="B45" s="2">
        <f t="shared" ca="1" si="22"/>
        <v>6</v>
      </c>
      <c r="C45" s="2">
        <f t="shared" ca="1" si="22"/>
        <v>28</v>
      </c>
      <c r="D45" s="2">
        <f t="shared" ca="1" si="22"/>
        <v>6</v>
      </c>
      <c r="E45" s="2">
        <f t="shared" ca="1" si="22"/>
        <v>27</v>
      </c>
      <c r="F45" s="2">
        <f t="shared" ca="1" si="22"/>
        <v>14</v>
      </c>
      <c r="G45" s="2">
        <f t="shared" ca="1" si="22"/>
        <v>18</v>
      </c>
      <c r="H45" s="2">
        <f t="shared" ca="1" si="22"/>
        <v>31</v>
      </c>
      <c r="I45" s="2">
        <f t="shared" ca="1" si="22"/>
        <v>31</v>
      </c>
      <c r="J45" s="2">
        <f t="shared" ca="1" si="22"/>
        <v>1</v>
      </c>
      <c r="K45">
        <f t="shared" ca="1" si="1"/>
        <v>-26868</v>
      </c>
      <c r="M45" cm="1">
        <f t="array" aca="1" ref="M45" ca="1">IF(A45&lt;=31,CalLoss(A45),CalGain(A45))</f>
        <v>26</v>
      </c>
      <c r="N45" cm="1">
        <f t="array" aca="1" ref="N45" ca="1">IF(B45&lt;=31,CalLoss(B45),CalGain(B45))</f>
        <v>12</v>
      </c>
      <c r="O45" cm="1">
        <f t="array" aca="1" ref="O45" ca="1">IF(C45&lt;=31,CalLoss(C45),CalGain(C45))</f>
        <v>7</v>
      </c>
      <c r="P45" cm="1">
        <f t="array" aca="1" ref="P45" ca="1">IF(D45&lt;=31,CalLoss(D45),CalGain(D45))</f>
        <v>12</v>
      </c>
      <c r="Q45" cm="1">
        <f t="array" aca="1" ref="Q45" ca="1">IF(E45&lt;=31,CalLoss(E45),CalGain(E45))</f>
        <v>27</v>
      </c>
      <c r="R45" cm="1">
        <f t="array" aca="1" ref="R45" ca="1">IF(F45&lt;=31,CalLoss(F45),CalGain(F45))</f>
        <v>14</v>
      </c>
      <c r="S45" cm="1">
        <f t="array" aca="1" ref="S45" ca="1">IF(G45&lt;=31,CalLoss(G45),CalGain(G45))</f>
        <v>9</v>
      </c>
      <c r="T45" cm="1">
        <f t="array" aca="1" ref="T45" ca="1">IF(H45&lt;=31,CalLoss(H45),CalGain(H45))</f>
        <v>31</v>
      </c>
      <c r="U45" cm="1">
        <f t="array" aca="1" ref="U45" ca="1">IF(I45&lt;=31,CalLoss(I45),CalGain(I45))</f>
        <v>31</v>
      </c>
      <c r="V45" cm="1">
        <f t="array" aca="1" ref="V45" ca="1">IF(J45&lt;=31,CalLoss(J45),CalGain(J45))</f>
        <v>16</v>
      </c>
      <c r="W45">
        <v>-3124</v>
      </c>
      <c r="X45">
        <v>2510</v>
      </c>
      <c r="Y45">
        <v>-1170</v>
      </c>
      <c r="Z45">
        <v>85</v>
      </c>
      <c r="AA45">
        <v>-1170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1623E-1B5C-4455-99EC-E01644B9236D}">
  <sheetPr codeName="Sheet3"/>
  <dimension ref="A1:AA46"/>
  <sheetViews>
    <sheetView topLeftCell="F1" workbookViewId="0">
      <selection sqref="A1:K15"/>
    </sheetView>
  </sheetViews>
  <sheetFormatPr defaultRowHeight="15" x14ac:dyDescent="0.25"/>
  <cols>
    <col min="25" max="25" width="11.7109375" bestFit="1" customWidth="1"/>
  </cols>
  <sheetData>
    <row r="1" spans="1:27" x14ac:dyDescent="0.25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13</v>
      </c>
      <c r="M1" t="s">
        <v>22</v>
      </c>
      <c r="N1" t="s">
        <v>21</v>
      </c>
      <c r="O1" t="s">
        <v>23</v>
      </c>
      <c r="P1" t="s">
        <v>20</v>
      </c>
      <c r="Q1" t="s">
        <v>19</v>
      </c>
      <c r="R1" t="s">
        <v>18</v>
      </c>
      <c r="S1" t="s">
        <v>17</v>
      </c>
      <c r="T1" t="s">
        <v>16</v>
      </c>
      <c r="U1" t="s">
        <v>15</v>
      </c>
      <c r="V1" t="s">
        <v>14</v>
      </c>
      <c r="W1" t="s">
        <v>72</v>
      </c>
      <c r="X1" t="s">
        <v>71</v>
      </c>
      <c r="Y1" t="s">
        <v>11</v>
      </c>
      <c r="Z1" t="s">
        <v>12</v>
      </c>
      <c r="AA1" t="s">
        <v>83</v>
      </c>
    </row>
    <row r="2" spans="1:27" x14ac:dyDescent="0.25">
      <c r="A2">
        <v>1</v>
      </c>
      <c r="B2">
        <f>A2+1</f>
        <v>2</v>
      </c>
      <c r="C2">
        <f t="shared" ref="C2:V2" si="0">B2+1</f>
        <v>3</v>
      </c>
      <c r="D2">
        <f t="shared" si="0"/>
        <v>4</v>
      </c>
      <c r="E2">
        <f t="shared" si="0"/>
        <v>5</v>
      </c>
      <c r="F2">
        <f t="shared" si="0"/>
        <v>6</v>
      </c>
      <c r="G2">
        <f t="shared" si="0"/>
        <v>7</v>
      </c>
      <c r="H2">
        <f t="shared" si="0"/>
        <v>8</v>
      </c>
      <c r="I2">
        <f t="shared" si="0"/>
        <v>9</v>
      </c>
      <c r="J2">
        <f t="shared" si="0"/>
        <v>10</v>
      </c>
      <c r="K2">
        <f t="shared" si="0"/>
        <v>11</v>
      </c>
      <c r="L2">
        <f t="shared" si="0"/>
        <v>12</v>
      </c>
      <c r="M2">
        <f t="shared" si="0"/>
        <v>13</v>
      </c>
      <c r="N2">
        <f t="shared" si="0"/>
        <v>14</v>
      </c>
      <c r="O2">
        <f t="shared" si="0"/>
        <v>15</v>
      </c>
      <c r="P2">
        <f t="shared" si="0"/>
        <v>16</v>
      </c>
      <c r="Q2">
        <f t="shared" si="0"/>
        <v>17</v>
      </c>
      <c r="R2">
        <f t="shared" si="0"/>
        <v>18</v>
      </c>
      <c r="S2">
        <f>R2+1</f>
        <v>19</v>
      </c>
      <c r="T2">
        <f t="shared" si="0"/>
        <v>20</v>
      </c>
      <c r="U2">
        <f t="shared" si="0"/>
        <v>21</v>
      </c>
      <c r="V2">
        <f t="shared" si="0"/>
        <v>22</v>
      </c>
      <c r="W2">
        <v>23</v>
      </c>
      <c r="X2">
        <v>24</v>
      </c>
      <c r="Y2">
        <v>25</v>
      </c>
      <c r="Z2">
        <v>26</v>
      </c>
      <c r="AA2">
        <v>27</v>
      </c>
    </row>
    <row r="7" spans="1:27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>
        <v>15898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15898</v>
      </c>
      <c r="X7">
        <v>15898</v>
      </c>
      <c r="Y7">
        <v>15898</v>
      </c>
      <c r="Z7">
        <v>15898</v>
      </c>
      <c r="AA7">
        <v>15898</v>
      </c>
    </row>
    <row r="8" spans="1:27" x14ac:dyDescent="0.25">
      <c r="A8" s="3">
        <v>0</v>
      </c>
      <c r="B8" s="3">
        <v>32</v>
      </c>
      <c r="C8" s="3">
        <v>32</v>
      </c>
      <c r="D8" s="3">
        <v>32</v>
      </c>
      <c r="E8" s="3">
        <v>0</v>
      </c>
      <c r="F8" s="3">
        <v>32</v>
      </c>
      <c r="G8" s="3">
        <v>32</v>
      </c>
      <c r="H8" s="3">
        <v>32</v>
      </c>
      <c r="I8" s="3">
        <v>32</v>
      </c>
      <c r="J8" s="3">
        <v>0</v>
      </c>
      <c r="K8">
        <v>-24099</v>
      </c>
      <c r="L8" s="1"/>
      <c r="M8">
        <v>0</v>
      </c>
      <c r="N8">
        <v>1</v>
      </c>
      <c r="O8">
        <v>1</v>
      </c>
      <c r="P8">
        <v>1</v>
      </c>
      <c r="Q8">
        <v>0</v>
      </c>
      <c r="R8">
        <v>1</v>
      </c>
      <c r="S8">
        <v>1</v>
      </c>
      <c r="T8">
        <v>1</v>
      </c>
      <c r="U8">
        <v>1</v>
      </c>
      <c r="V8">
        <v>0</v>
      </c>
      <c r="W8">
        <v>-24099</v>
      </c>
      <c r="X8">
        <v>-24099</v>
      </c>
      <c r="Y8">
        <v>-8201</v>
      </c>
      <c r="Z8">
        <v>-8201</v>
      </c>
      <c r="AA8">
        <v>-8201</v>
      </c>
    </row>
    <row r="9" spans="1:27" x14ac:dyDescent="0.25">
      <c r="A9" s="2">
        <v>21</v>
      </c>
      <c r="B9" s="2">
        <v>31</v>
      </c>
      <c r="C9" s="2">
        <v>28</v>
      </c>
      <c r="D9" s="2">
        <v>23</v>
      </c>
      <c r="E9" s="2">
        <v>21</v>
      </c>
      <c r="F9" s="2">
        <v>26</v>
      </c>
      <c r="G9" s="2">
        <v>26</v>
      </c>
      <c r="H9" s="2">
        <v>21</v>
      </c>
      <c r="I9" s="2">
        <v>29</v>
      </c>
      <c r="J9" s="2">
        <v>26</v>
      </c>
      <c r="K9">
        <v>-22935</v>
      </c>
      <c r="M9">
        <v>21</v>
      </c>
      <c r="N9">
        <v>31</v>
      </c>
      <c r="O9">
        <v>7</v>
      </c>
      <c r="P9">
        <v>29</v>
      </c>
      <c r="Q9">
        <v>21</v>
      </c>
      <c r="R9">
        <v>11</v>
      </c>
      <c r="S9">
        <v>11</v>
      </c>
      <c r="T9">
        <v>21</v>
      </c>
      <c r="U9">
        <v>23</v>
      </c>
      <c r="V9">
        <v>11</v>
      </c>
      <c r="W9">
        <v>-3276</v>
      </c>
      <c r="X9">
        <v>-2085</v>
      </c>
      <c r="Y9">
        <v>-499</v>
      </c>
      <c r="Z9">
        <v>-935</v>
      </c>
      <c r="AA9">
        <v>-499</v>
      </c>
    </row>
    <row r="10" spans="1:27" x14ac:dyDescent="0.25">
      <c r="A10" s="3">
        <v>224</v>
      </c>
      <c r="B10" s="3">
        <v>448</v>
      </c>
      <c r="C10" s="3">
        <v>864</v>
      </c>
      <c r="D10" s="3">
        <v>928</v>
      </c>
      <c r="E10" s="3">
        <v>544</v>
      </c>
      <c r="F10" s="3">
        <v>256</v>
      </c>
      <c r="G10" s="3">
        <v>896</v>
      </c>
      <c r="H10" s="3">
        <v>448</v>
      </c>
      <c r="I10" s="3">
        <v>416</v>
      </c>
      <c r="J10" s="3">
        <v>704</v>
      </c>
      <c r="K10">
        <v>-5457</v>
      </c>
      <c r="L10" s="1"/>
      <c r="M10">
        <v>7</v>
      </c>
      <c r="N10">
        <v>14</v>
      </c>
      <c r="O10">
        <v>27</v>
      </c>
      <c r="P10">
        <v>29</v>
      </c>
      <c r="Q10">
        <v>17</v>
      </c>
      <c r="R10">
        <v>8</v>
      </c>
      <c r="S10">
        <v>28</v>
      </c>
      <c r="T10">
        <v>14</v>
      </c>
      <c r="U10">
        <v>13</v>
      </c>
      <c r="V10">
        <v>22</v>
      </c>
      <c r="W10">
        <v>-32768</v>
      </c>
      <c r="X10">
        <v>-32768</v>
      </c>
      <c r="Y10">
        <v>-425984</v>
      </c>
      <c r="Z10">
        <v>-720896</v>
      </c>
      <c r="AA10">
        <v>-720896</v>
      </c>
    </row>
    <row r="11" spans="1:27" x14ac:dyDescent="0.25">
      <c r="A11" s="2">
        <v>18</v>
      </c>
      <c r="B11" s="2">
        <v>4</v>
      </c>
      <c r="C11" s="2">
        <v>6</v>
      </c>
      <c r="D11" s="2">
        <v>21</v>
      </c>
      <c r="E11" s="2">
        <v>2</v>
      </c>
      <c r="F11" s="2">
        <v>23</v>
      </c>
      <c r="G11" s="2">
        <v>31</v>
      </c>
      <c r="H11" s="2">
        <v>24</v>
      </c>
      <c r="I11" s="2">
        <v>4</v>
      </c>
      <c r="J11" s="2">
        <v>30</v>
      </c>
      <c r="K11">
        <v>-25270</v>
      </c>
      <c r="M11">
        <v>9</v>
      </c>
      <c r="N11">
        <v>4</v>
      </c>
      <c r="O11">
        <v>12</v>
      </c>
      <c r="P11">
        <v>21</v>
      </c>
      <c r="Q11">
        <v>8</v>
      </c>
      <c r="R11">
        <v>29</v>
      </c>
      <c r="S11">
        <v>31</v>
      </c>
      <c r="T11">
        <v>3</v>
      </c>
      <c r="U11">
        <v>4</v>
      </c>
      <c r="V11">
        <v>15</v>
      </c>
      <c r="W11">
        <v>-2807</v>
      </c>
      <c r="X11">
        <v>-3158</v>
      </c>
      <c r="Y11">
        <v>-8192</v>
      </c>
      <c r="Z11">
        <v>-2184</v>
      </c>
      <c r="AA11">
        <v>-8192</v>
      </c>
    </row>
    <row r="12" spans="1:27" x14ac:dyDescent="0.25">
      <c r="A12" s="3">
        <v>384</v>
      </c>
      <c r="B12" s="3">
        <v>224</v>
      </c>
      <c r="C12" s="3">
        <v>128</v>
      </c>
      <c r="D12" s="3">
        <v>0</v>
      </c>
      <c r="E12" s="3">
        <v>384</v>
      </c>
      <c r="F12" s="3">
        <v>672</v>
      </c>
      <c r="G12" s="3">
        <v>864</v>
      </c>
      <c r="H12" s="3">
        <v>960</v>
      </c>
      <c r="I12" s="3">
        <v>160</v>
      </c>
      <c r="J12" s="3">
        <v>672</v>
      </c>
      <c r="K12">
        <v>20913</v>
      </c>
      <c r="L12" s="1"/>
      <c r="M12">
        <v>12</v>
      </c>
      <c r="N12">
        <v>7</v>
      </c>
      <c r="O12">
        <v>4</v>
      </c>
      <c r="P12">
        <v>0</v>
      </c>
      <c r="Q12">
        <v>12</v>
      </c>
      <c r="R12">
        <v>21</v>
      </c>
      <c r="S12">
        <v>27</v>
      </c>
      <c r="T12">
        <v>30</v>
      </c>
      <c r="U12">
        <v>5</v>
      </c>
      <c r="V12">
        <v>21</v>
      </c>
      <c r="W12">
        <v>32767</v>
      </c>
      <c r="X12">
        <v>32767</v>
      </c>
      <c r="Y12">
        <v>-30420</v>
      </c>
      <c r="Z12">
        <v>-110124</v>
      </c>
      <c r="AA12">
        <v>-110124</v>
      </c>
    </row>
    <row r="13" spans="1:27" x14ac:dyDescent="0.25">
      <c r="A13" s="2">
        <v>21</v>
      </c>
      <c r="B13" s="2">
        <v>17</v>
      </c>
      <c r="C13" s="2">
        <v>5</v>
      </c>
      <c r="D13" s="2">
        <v>23</v>
      </c>
      <c r="E13" s="2">
        <v>25</v>
      </c>
      <c r="F13" s="2">
        <v>18</v>
      </c>
      <c r="G13" s="2">
        <v>16</v>
      </c>
      <c r="H13" s="2">
        <v>15</v>
      </c>
      <c r="I13" s="2">
        <v>25</v>
      </c>
      <c r="J13" s="2">
        <v>2</v>
      </c>
      <c r="K13">
        <v>-8093</v>
      </c>
      <c r="M13">
        <v>21</v>
      </c>
      <c r="N13">
        <v>17</v>
      </c>
      <c r="O13">
        <v>20</v>
      </c>
      <c r="P13">
        <v>29</v>
      </c>
      <c r="Q13">
        <v>19</v>
      </c>
      <c r="R13">
        <v>9</v>
      </c>
      <c r="S13">
        <v>1</v>
      </c>
      <c r="T13">
        <v>30</v>
      </c>
      <c r="U13">
        <v>19</v>
      </c>
      <c r="V13">
        <v>8</v>
      </c>
      <c r="W13">
        <v>-404</v>
      </c>
      <c r="X13">
        <v>-8093</v>
      </c>
      <c r="Y13">
        <v>-169</v>
      </c>
      <c r="Z13">
        <v>-1406</v>
      </c>
      <c r="AA13">
        <v>-169</v>
      </c>
    </row>
    <row r="14" spans="1:27" x14ac:dyDescent="0.25">
      <c r="A14" s="3">
        <v>256</v>
      </c>
      <c r="B14" s="3">
        <v>896</v>
      </c>
      <c r="C14" s="3">
        <v>704</v>
      </c>
      <c r="D14" s="3">
        <v>704</v>
      </c>
      <c r="E14" s="3">
        <v>544</v>
      </c>
      <c r="F14" s="3">
        <v>640</v>
      </c>
      <c r="G14" s="3">
        <v>512</v>
      </c>
      <c r="H14" s="3">
        <v>0</v>
      </c>
      <c r="I14" s="3">
        <v>800</v>
      </c>
      <c r="J14" s="3">
        <v>224</v>
      </c>
      <c r="K14">
        <v>-11677</v>
      </c>
      <c r="L14" s="1"/>
      <c r="M14">
        <v>8</v>
      </c>
      <c r="N14">
        <v>28</v>
      </c>
      <c r="O14">
        <v>22</v>
      </c>
      <c r="P14">
        <v>22</v>
      </c>
      <c r="Q14">
        <v>17</v>
      </c>
      <c r="R14">
        <v>20</v>
      </c>
      <c r="S14">
        <v>16</v>
      </c>
      <c r="T14">
        <v>0</v>
      </c>
      <c r="U14">
        <v>25</v>
      </c>
      <c r="V14">
        <v>7</v>
      </c>
      <c r="W14">
        <v>-32768</v>
      </c>
      <c r="X14">
        <v>-11677</v>
      </c>
      <c r="Y14">
        <v>-80300</v>
      </c>
      <c r="Z14">
        <v>68873</v>
      </c>
      <c r="AA14">
        <v>68873</v>
      </c>
    </row>
    <row r="15" spans="1:27" x14ac:dyDescent="0.25">
      <c r="A15" s="2">
        <v>25</v>
      </c>
      <c r="B15" s="2">
        <v>30</v>
      </c>
      <c r="C15" s="2">
        <v>4</v>
      </c>
      <c r="D15" s="2">
        <v>23</v>
      </c>
      <c r="E15" s="2">
        <v>18</v>
      </c>
      <c r="F15" s="2">
        <v>13</v>
      </c>
      <c r="G15" s="2">
        <v>0</v>
      </c>
      <c r="H15" s="2">
        <v>8</v>
      </c>
      <c r="I15" s="2">
        <v>10</v>
      </c>
      <c r="J15" s="2">
        <v>16</v>
      </c>
      <c r="K15">
        <v>6944</v>
      </c>
      <c r="M15">
        <v>19</v>
      </c>
      <c r="N15">
        <v>15</v>
      </c>
      <c r="O15">
        <v>4</v>
      </c>
      <c r="P15">
        <v>29</v>
      </c>
      <c r="Q15">
        <v>9</v>
      </c>
      <c r="R15">
        <v>22</v>
      </c>
      <c r="S15">
        <v>0</v>
      </c>
      <c r="T15">
        <v>2</v>
      </c>
      <c r="U15">
        <v>10</v>
      </c>
      <c r="V15">
        <v>1</v>
      </c>
      <c r="W15">
        <v>365</v>
      </c>
      <c r="X15">
        <v>771</v>
      </c>
      <c r="Y15">
        <v>-4</v>
      </c>
      <c r="Z15">
        <v>13768</v>
      </c>
      <c r="AA15">
        <v>-4</v>
      </c>
    </row>
    <row r="16" spans="1:27" x14ac:dyDescent="0.25">
      <c r="A16" s="3">
        <v>32</v>
      </c>
      <c r="B16" s="3">
        <v>64</v>
      </c>
      <c r="C16" s="3">
        <v>64</v>
      </c>
      <c r="D16" s="3">
        <v>64</v>
      </c>
      <c r="E16" s="3">
        <v>64</v>
      </c>
      <c r="F16" s="3">
        <v>64</v>
      </c>
      <c r="G16" s="3">
        <v>0</v>
      </c>
      <c r="H16" s="3">
        <v>64</v>
      </c>
      <c r="I16" s="3">
        <v>0</v>
      </c>
      <c r="J16" s="3">
        <v>0</v>
      </c>
      <c r="K16">
        <v>9040</v>
      </c>
      <c r="L16" s="1"/>
      <c r="M16">
        <v>1</v>
      </c>
      <c r="N16">
        <v>2</v>
      </c>
      <c r="O16">
        <v>2</v>
      </c>
      <c r="P16">
        <v>2</v>
      </c>
      <c r="Q16">
        <v>2</v>
      </c>
      <c r="R16">
        <v>2</v>
      </c>
      <c r="S16">
        <v>0</v>
      </c>
      <c r="T16">
        <v>2</v>
      </c>
      <c r="U16">
        <v>0</v>
      </c>
      <c r="V16">
        <v>0</v>
      </c>
      <c r="W16">
        <v>18080</v>
      </c>
      <c r="X16">
        <v>18080</v>
      </c>
      <c r="Y16">
        <v>-14727</v>
      </c>
      <c r="Z16">
        <v>-919</v>
      </c>
      <c r="AA16">
        <v>-919</v>
      </c>
    </row>
    <row r="17" spans="1:27" x14ac:dyDescent="0.25">
      <c r="A17" s="2">
        <v>31</v>
      </c>
      <c r="B17" s="2">
        <v>22</v>
      </c>
      <c r="C17" s="2">
        <v>7</v>
      </c>
      <c r="D17" s="2">
        <v>15</v>
      </c>
      <c r="E17" s="2">
        <v>10</v>
      </c>
      <c r="F17" s="2">
        <v>28</v>
      </c>
      <c r="G17" s="2">
        <v>5</v>
      </c>
      <c r="H17" s="2">
        <v>13</v>
      </c>
      <c r="I17" s="2">
        <v>10</v>
      </c>
      <c r="J17" s="2">
        <v>17</v>
      </c>
      <c r="K17">
        <v>25200</v>
      </c>
      <c r="M17">
        <v>31</v>
      </c>
      <c r="N17">
        <v>13</v>
      </c>
      <c r="O17">
        <v>28</v>
      </c>
      <c r="P17">
        <v>30</v>
      </c>
      <c r="Q17">
        <v>10</v>
      </c>
      <c r="R17">
        <v>7</v>
      </c>
      <c r="S17">
        <v>20</v>
      </c>
      <c r="T17">
        <v>22</v>
      </c>
      <c r="U17">
        <v>10</v>
      </c>
      <c r="V17">
        <v>17</v>
      </c>
      <c r="W17">
        <v>900</v>
      </c>
      <c r="X17">
        <v>1260</v>
      </c>
      <c r="Y17">
        <v>-1342</v>
      </c>
      <c r="Z17">
        <v>496</v>
      </c>
      <c r="AA17">
        <v>-1342</v>
      </c>
    </row>
    <row r="18" spans="1:27" x14ac:dyDescent="0.25">
      <c r="A18" s="3">
        <v>224</v>
      </c>
      <c r="B18" s="3">
        <v>32</v>
      </c>
      <c r="C18" s="3">
        <v>0</v>
      </c>
      <c r="D18" s="3">
        <v>64</v>
      </c>
      <c r="E18" s="3">
        <v>128</v>
      </c>
      <c r="F18" s="3">
        <v>224</v>
      </c>
      <c r="G18" s="3">
        <v>64</v>
      </c>
      <c r="H18" s="3">
        <v>0</v>
      </c>
      <c r="I18" s="3">
        <v>160</v>
      </c>
      <c r="J18" s="3">
        <v>96</v>
      </c>
      <c r="K18">
        <v>15326</v>
      </c>
      <c r="L18" s="1"/>
      <c r="M18">
        <v>7</v>
      </c>
      <c r="N18">
        <v>1</v>
      </c>
      <c r="O18">
        <v>0</v>
      </c>
      <c r="P18">
        <v>2</v>
      </c>
      <c r="Q18">
        <v>4</v>
      </c>
      <c r="R18">
        <v>7</v>
      </c>
      <c r="S18">
        <v>2</v>
      </c>
      <c r="T18">
        <v>0</v>
      </c>
      <c r="U18">
        <v>5</v>
      </c>
      <c r="V18">
        <v>3</v>
      </c>
      <c r="W18">
        <v>30652</v>
      </c>
      <c r="X18">
        <v>15326</v>
      </c>
      <c r="Y18">
        <v>163835</v>
      </c>
      <c r="Z18">
        <v>98301</v>
      </c>
      <c r="AA18">
        <v>98301</v>
      </c>
    </row>
    <row r="19" spans="1:27" x14ac:dyDescent="0.25">
      <c r="A19" s="2">
        <v>25</v>
      </c>
      <c r="B19" s="2">
        <v>30</v>
      </c>
      <c r="C19" s="2">
        <v>16</v>
      </c>
      <c r="D19" s="2">
        <v>2</v>
      </c>
      <c r="E19" s="2">
        <v>0</v>
      </c>
      <c r="F19" s="2">
        <v>14</v>
      </c>
      <c r="G19" s="2">
        <v>3</v>
      </c>
      <c r="H19" s="2">
        <v>22</v>
      </c>
      <c r="I19" s="2">
        <v>18</v>
      </c>
      <c r="J19" s="2">
        <v>12</v>
      </c>
      <c r="K19">
        <v>883</v>
      </c>
      <c r="M19">
        <v>19</v>
      </c>
      <c r="N19">
        <v>15</v>
      </c>
      <c r="O19">
        <v>1</v>
      </c>
      <c r="P19">
        <v>8</v>
      </c>
      <c r="Q19">
        <v>0</v>
      </c>
      <c r="R19">
        <v>14</v>
      </c>
      <c r="S19">
        <v>24</v>
      </c>
      <c r="T19">
        <v>13</v>
      </c>
      <c r="U19">
        <v>9</v>
      </c>
      <c r="V19">
        <v>6</v>
      </c>
      <c r="W19">
        <v>46</v>
      </c>
      <c r="X19">
        <v>883</v>
      </c>
      <c r="Y19">
        <v>3640</v>
      </c>
      <c r="Z19">
        <v>5461</v>
      </c>
      <c r="AA19">
        <v>3640</v>
      </c>
    </row>
    <row r="20" spans="1:27" x14ac:dyDescent="0.25">
      <c r="A20" s="3">
        <v>32</v>
      </c>
      <c r="B20" s="3">
        <v>0</v>
      </c>
      <c r="C20" s="3">
        <v>64</v>
      </c>
      <c r="D20" s="3">
        <v>32</v>
      </c>
      <c r="E20" s="3">
        <v>32</v>
      </c>
      <c r="F20" s="3">
        <v>32</v>
      </c>
      <c r="G20" s="3">
        <v>32</v>
      </c>
      <c r="H20" s="3">
        <v>32</v>
      </c>
      <c r="I20" s="3">
        <v>32</v>
      </c>
      <c r="J20" s="3">
        <v>64</v>
      </c>
      <c r="K20">
        <v>-19406</v>
      </c>
      <c r="L20" s="1"/>
      <c r="M20">
        <v>1</v>
      </c>
      <c r="N20">
        <v>0</v>
      </c>
      <c r="O20">
        <v>2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2</v>
      </c>
      <c r="W20">
        <v>-19406</v>
      </c>
      <c r="X20">
        <v>-19406</v>
      </c>
      <c r="Y20">
        <v>12192</v>
      </c>
      <c r="Z20">
        <v>-3874</v>
      </c>
      <c r="AA20">
        <v>-3874</v>
      </c>
    </row>
    <row r="21" spans="1:27" x14ac:dyDescent="0.25">
      <c r="A21" s="2">
        <v>20</v>
      </c>
      <c r="B21" s="2">
        <v>14</v>
      </c>
      <c r="C21" s="2">
        <v>18</v>
      </c>
      <c r="D21" s="2">
        <v>19</v>
      </c>
      <c r="E21" s="2">
        <v>24</v>
      </c>
      <c r="F21" s="2">
        <v>20</v>
      </c>
      <c r="G21" s="2">
        <v>6</v>
      </c>
      <c r="H21" s="2">
        <v>21</v>
      </c>
      <c r="I21" s="2">
        <v>6</v>
      </c>
      <c r="J21" s="2">
        <v>9</v>
      </c>
      <c r="K21">
        <v>10992</v>
      </c>
      <c r="M21">
        <v>5</v>
      </c>
      <c r="N21">
        <v>14</v>
      </c>
      <c r="O21">
        <v>9</v>
      </c>
      <c r="P21">
        <v>25</v>
      </c>
      <c r="Q21">
        <v>3</v>
      </c>
      <c r="R21">
        <v>5</v>
      </c>
      <c r="S21">
        <v>12</v>
      </c>
      <c r="T21">
        <v>21</v>
      </c>
      <c r="U21">
        <v>12</v>
      </c>
      <c r="V21">
        <v>18</v>
      </c>
      <c r="W21">
        <v>1221</v>
      </c>
      <c r="X21">
        <v>916</v>
      </c>
      <c r="Y21">
        <v>1042</v>
      </c>
      <c r="Z21">
        <v>-126</v>
      </c>
      <c r="AA21">
        <v>1042</v>
      </c>
    </row>
    <row r="22" spans="1:27" x14ac:dyDescent="0.25">
      <c r="A22" s="3">
        <v>32</v>
      </c>
      <c r="B22" s="3">
        <v>32</v>
      </c>
      <c r="C22" s="3">
        <v>64</v>
      </c>
      <c r="D22" s="3">
        <v>0</v>
      </c>
      <c r="E22" s="3">
        <v>96</v>
      </c>
      <c r="F22" s="3">
        <v>0</v>
      </c>
      <c r="G22" s="3">
        <v>32</v>
      </c>
      <c r="H22" s="3">
        <v>64</v>
      </c>
      <c r="I22" s="3">
        <v>32</v>
      </c>
      <c r="J22" s="3">
        <v>64</v>
      </c>
      <c r="K22">
        <v>945</v>
      </c>
      <c r="L22" s="1"/>
      <c r="M22">
        <v>1</v>
      </c>
      <c r="N22">
        <v>1</v>
      </c>
      <c r="O22">
        <v>2</v>
      </c>
      <c r="P22">
        <v>0</v>
      </c>
      <c r="Q22">
        <v>3</v>
      </c>
      <c r="R22">
        <v>0</v>
      </c>
      <c r="S22">
        <v>1</v>
      </c>
      <c r="T22">
        <v>2</v>
      </c>
      <c r="U22">
        <v>1</v>
      </c>
      <c r="V22">
        <v>2</v>
      </c>
      <c r="W22">
        <v>945</v>
      </c>
      <c r="X22">
        <v>1890</v>
      </c>
      <c r="Y22">
        <v>-17194</v>
      </c>
      <c r="Z22">
        <v>-31434</v>
      </c>
      <c r="AA22">
        <v>-31434</v>
      </c>
    </row>
    <row r="23" spans="1:27" x14ac:dyDescent="0.25">
      <c r="A23" s="2">
        <v>27</v>
      </c>
      <c r="B23" s="2">
        <v>16</v>
      </c>
      <c r="C23" s="2">
        <v>1</v>
      </c>
      <c r="D23" s="2">
        <v>17</v>
      </c>
      <c r="E23" s="2">
        <v>2</v>
      </c>
      <c r="F23" s="2">
        <v>21</v>
      </c>
      <c r="G23" s="2">
        <v>16</v>
      </c>
      <c r="H23" s="2">
        <v>0</v>
      </c>
      <c r="I23" s="2">
        <v>11</v>
      </c>
      <c r="J23" s="2">
        <v>12</v>
      </c>
      <c r="K23">
        <v>27531</v>
      </c>
      <c r="M23">
        <v>27</v>
      </c>
      <c r="N23">
        <v>1</v>
      </c>
      <c r="O23">
        <v>16</v>
      </c>
      <c r="P23">
        <v>17</v>
      </c>
      <c r="Q23">
        <v>8</v>
      </c>
      <c r="R23">
        <v>21</v>
      </c>
      <c r="S23">
        <v>1</v>
      </c>
      <c r="T23">
        <v>0</v>
      </c>
      <c r="U23">
        <v>26</v>
      </c>
      <c r="V23">
        <v>6</v>
      </c>
      <c r="W23">
        <v>1019</v>
      </c>
      <c r="X23">
        <v>3441</v>
      </c>
      <c r="Y23">
        <v>-623</v>
      </c>
      <c r="Z23">
        <v>-2193</v>
      </c>
      <c r="AA23">
        <v>-623</v>
      </c>
    </row>
    <row r="24" spans="1:27" x14ac:dyDescent="0.25">
      <c r="A24" s="3">
        <v>96</v>
      </c>
      <c r="B24" s="3">
        <v>128</v>
      </c>
      <c r="C24" s="3">
        <v>128</v>
      </c>
      <c r="D24" s="3">
        <v>96</v>
      </c>
      <c r="E24" s="3">
        <v>128</v>
      </c>
      <c r="F24" s="3">
        <v>96</v>
      </c>
      <c r="G24" s="3">
        <v>128</v>
      </c>
      <c r="H24" s="3">
        <v>128</v>
      </c>
      <c r="I24" s="3">
        <v>128</v>
      </c>
      <c r="J24" s="3">
        <v>96</v>
      </c>
      <c r="K24">
        <v>-22517</v>
      </c>
      <c r="L24" s="1"/>
      <c r="M24">
        <v>3</v>
      </c>
      <c r="N24">
        <v>4</v>
      </c>
      <c r="O24">
        <v>4</v>
      </c>
      <c r="P24">
        <v>3</v>
      </c>
      <c r="Q24">
        <v>4</v>
      </c>
      <c r="R24">
        <v>3</v>
      </c>
      <c r="S24">
        <v>4</v>
      </c>
      <c r="T24">
        <v>4</v>
      </c>
      <c r="U24">
        <v>4</v>
      </c>
      <c r="V24">
        <v>3</v>
      </c>
      <c r="W24">
        <v>-32768</v>
      </c>
      <c r="X24">
        <v>-32768</v>
      </c>
      <c r="Y24">
        <v>-118332</v>
      </c>
      <c r="Z24">
        <v>-79563</v>
      </c>
      <c r="AA24">
        <v>-79563</v>
      </c>
    </row>
    <row r="25" spans="1:27" x14ac:dyDescent="0.25">
      <c r="A25" s="2">
        <v>8</v>
      </c>
      <c r="B25" s="2">
        <v>15</v>
      </c>
      <c r="C25" s="2">
        <v>20</v>
      </c>
      <c r="D25" s="2">
        <v>30</v>
      </c>
      <c r="E25" s="2">
        <v>23</v>
      </c>
      <c r="F25" s="2">
        <v>5</v>
      </c>
      <c r="G25" s="2">
        <v>1</v>
      </c>
      <c r="H25" s="2">
        <v>8</v>
      </c>
      <c r="I25" s="2">
        <v>19</v>
      </c>
      <c r="J25" s="2">
        <v>31</v>
      </c>
      <c r="K25">
        <v>5158</v>
      </c>
      <c r="M25">
        <v>2</v>
      </c>
      <c r="N25">
        <v>30</v>
      </c>
      <c r="O25">
        <v>5</v>
      </c>
      <c r="P25">
        <v>15</v>
      </c>
      <c r="Q25">
        <v>29</v>
      </c>
      <c r="R25">
        <v>20</v>
      </c>
      <c r="S25">
        <v>16</v>
      </c>
      <c r="T25">
        <v>2</v>
      </c>
      <c r="U25">
        <v>25</v>
      </c>
      <c r="V25">
        <v>31</v>
      </c>
      <c r="W25">
        <v>1031</v>
      </c>
      <c r="X25">
        <v>322</v>
      </c>
      <c r="Y25">
        <v>-1190</v>
      </c>
      <c r="Z25">
        <v>-874</v>
      </c>
      <c r="AA25">
        <v>-1190</v>
      </c>
    </row>
    <row r="26" spans="1:27" x14ac:dyDescent="0.25">
      <c r="A26" s="3">
        <v>512</v>
      </c>
      <c r="B26" s="3">
        <v>960</v>
      </c>
      <c r="C26" s="3">
        <v>352</v>
      </c>
      <c r="D26" s="3">
        <v>608</v>
      </c>
      <c r="E26" s="3">
        <v>320</v>
      </c>
      <c r="F26" s="3">
        <v>768</v>
      </c>
      <c r="G26" s="3">
        <v>256</v>
      </c>
      <c r="H26" s="3">
        <v>864</v>
      </c>
      <c r="I26" s="3">
        <v>256</v>
      </c>
      <c r="J26" s="3">
        <v>640</v>
      </c>
      <c r="K26">
        <v>277</v>
      </c>
      <c r="L26" s="1"/>
      <c r="M26">
        <v>16</v>
      </c>
      <c r="N26">
        <v>30</v>
      </c>
      <c r="O26">
        <v>11</v>
      </c>
      <c r="P26">
        <v>19</v>
      </c>
      <c r="Q26">
        <v>10</v>
      </c>
      <c r="R26">
        <v>24</v>
      </c>
      <c r="S26">
        <v>8</v>
      </c>
      <c r="T26">
        <v>27</v>
      </c>
      <c r="U26">
        <v>8</v>
      </c>
      <c r="V26">
        <v>20</v>
      </c>
      <c r="W26">
        <v>5263</v>
      </c>
      <c r="X26">
        <v>7479</v>
      </c>
      <c r="Y26">
        <v>-203640</v>
      </c>
      <c r="Z26">
        <v>-430520</v>
      </c>
      <c r="AA26">
        <v>-430520</v>
      </c>
    </row>
    <row r="27" spans="1:27" x14ac:dyDescent="0.25">
      <c r="A27" s="3">
        <v>192</v>
      </c>
      <c r="B27" s="3">
        <v>320</v>
      </c>
      <c r="C27" s="3">
        <v>0</v>
      </c>
      <c r="D27" s="3">
        <v>384</v>
      </c>
      <c r="E27" s="3">
        <v>256</v>
      </c>
      <c r="F27" s="3">
        <v>96</v>
      </c>
      <c r="G27" s="3">
        <v>384</v>
      </c>
      <c r="H27" s="3">
        <v>640</v>
      </c>
      <c r="I27" s="3">
        <v>224</v>
      </c>
      <c r="J27" s="3">
        <v>160</v>
      </c>
      <c r="K27">
        <v>-4667</v>
      </c>
      <c r="L27" s="1"/>
      <c r="M27">
        <v>6</v>
      </c>
      <c r="N27">
        <v>10</v>
      </c>
      <c r="O27">
        <v>0</v>
      </c>
      <c r="P27">
        <v>12</v>
      </c>
      <c r="Q27">
        <v>8</v>
      </c>
      <c r="R27">
        <v>3</v>
      </c>
      <c r="S27">
        <v>12</v>
      </c>
      <c r="T27">
        <v>20</v>
      </c>
      <c r="U27">
        <v>7</v>
      </c>
      <c r="V27">
        <v>5</v>
      </c>
      <c r="W27">
        <v>-28002</v>
      </c>
      <c r="X27">
        <v>-32768</v>
      </c>
      <c r="Y27">
        <v>-229376</v>
      </c>
      <c r="Z27">
        <v>-163840</v>
      </c>
      <c r="AA27">
        <v>-229376</v>
      </c>
    </row>
    <row r="28" spans="1:27" x14ac:dyDescent="0.25">
      <c r="A28" s="3">
        <v>32</v>
      </c>
      <c r="B28" s="3">
        <v>288</v>
      </c>
      <c r="C28" s="3">
        <v>160</v>
      </c>
      <c r="D28" s="3">
        <v>128</v>
      </c>
      <c r="E28" s="3">
        <v>576</v>
      </c>
      <c r="F28" s="3">
        <v>704</v>
      </c>
      <c r="G28" s="3">
        <v>608</v>
      </c>
      <c r="H28" s="3">
        <v>512</v>
      </c>
      <c r="I28" s="3">
        <v>800</v>
      </c>
      <c r="J28" s="3">
        <v>832</v>
      </c>
      <c r="K28">
        <v>-10112</v>
      </c>
      <c r="L28" s="1"/>
      <c r="M28">
        <v>1</v>
      </c>
      <c r="N28">
        <v>9</v>
      </c>
      <c r="O28">
        <v>5</v>
      </c>
      <c r="P28">
        <v>4</v>
      </c>
      <c r="Q28">
        <v>18</v>
      </c>
      <c r="R28">
        <v>22</v>
      </c>
      <c r="S28">
        <v>19</v>
      </c>
      <c r="T28">
        <v>16</v>
      </c>
      <c r="U28">
        <v>25</v>
      </c>
      <c r="V28">
        <v>26</v>
      </c>
      <c r="W28">
        <v>-32768</v>
      </c>
      <c r="X28">
        <v>-32768</v>
      </c>
      <c r="Y28">
        <v>-819200</v>
      </c>
      <c r="Z28">
        <v>-851968</v>
      </c>
      <c r="AA28">
        <v>-851968</v>
      </c>
    </row>
    <row r="29" spans="1:27" x14ac:dyDescent="0.25">
      <c r="A29" s="3">
        <v>992</v>
      </c>
      <c r="B29" s="3">
        <v>512</v>
      </c>
      <c r="C29" s="3">
        <v>416</v>
      </c>
      <c r="D29" s="3">
        <v>736</v>
      </c>
      <c r="E29" s="3">
        <v>256</v>
      </c>
      <c r="F29" s="3">
        <v>544</v>
      </c>
      <c r="G29" s="3">
        <v>832</v>
      </c>
      <c r="H29" s="3">
        <v>800</v>
      </c>
      <c r="I29" s="3">
        <v>960</v>
      </c>
      <c r="J29" s="3">
        <v>448</v>
      </c>
      <c r="K29">
        <v>32496</v>
      </c>
      <c r="L29" s="1"/>
      <c r="M29">
        <v>31</v>
      </c>
      <c r="N29">
        <v>16</v>
      </c>
      <c r="O29">
        <v>13</v>
      </c>
      <c r="P29">
        <v>23</v>
      </c>
      <c r="Q29">
        <v>8</v>
      </c>
      <c r="R29">
        <v>17</v>
      </c>
      <c r="S29">
        <v>26</v>
      </c>
      <c r="T29">
        <v>25</v>
      </c>
      <c r="U29">
        <v>30</v>
      </c>
      <c r="V29">
        <v>14</v>
      </c>
      <c r="W29">
        <v>32767</v>
      </c>
      <c r="X29">
        <v>32767</v>
      </c>
      <c r="Y29">
        <v>-682200</v>
      </c>
      <c r="Z29">
        <v>-354060</v>
      </c>
      <c r="AA29">
        <v>-682200</v>
      </c>
    </row>
    <row r="30" spans="1:27" x14ac:dyDescent="0.25">
      <c r="A30" s="2">
        <v>15</v>
      </c>
      <c r="B30" s="2">
        <v>30</v>
      </c>
      <c r="C30" s="2">
        <v>26</v>
      </c>
      <c r="D30" s="2">
        <v>28</v>
      </c>
      <c r="E30" s="2">
        <v>15</v>
      </c>
      <c r="F30" s="2">
        <v>1</v>
      </c>
      <c r="G30" s="2">
        <v>26</v>
      </c>
      <c r="H30" s="2">
        <v>14</v>
      </c>
      <c r="I30" s="2">
        <v>28</v>
      </c>
      <c r="J30" s="2">
        <v>9</v>
      </c>
      <c r="K30">
        <v>2503</v>
      </c>
      <c r="M30">
        <v>30</v>
      </c>
      <c r="N30">
        <v>15</v>
      </c>
      <c r="O30">
        <v>11</v>
      </c>
      <c r="P30">
        <v>7</v>
      </c>
      <c r="Q30">
        <v>30</v>
      </c>
      <c r="R30">
        <v>16</v>
      </c>
      <c r="S30">
        <v>11</v>
      </c>
      <c r="T30">
        <v>14</v>
      </c>
      <c r="U30">
        <v>7</v>
      </c>
      <c r="V30">
        <v>18</v>
      </c>
      <c r="W30">
        <v>357</v>
      </c>
      <c r="X30">
        <v>178</v>
      </c>
      <c r="Y30">
        <v>-3949</v>
      </c>
      <c r="Z30">
        <v>-1810</v>
      </c>
      <c r="AA30">
        <v>-1810</v>
      </c>
    </row>
    <row r="31" spans="1:27" x14ac:dyDescent="0.25">
      <c r="A31" s="3">
        <v>128</v>
      </c>
      <c r="B31" s="3">
        <v>800</v>
      </c>
      <c r="C31" s="3">
        <v>992</v>
      </c>
      <c r="D31" s="3">
        <v>800</v>
      </c>
      <c r="E31" s="3">
        <v>736</v>
      </c>
      <c r="F31" s="3">
        <v>512</v>
      </c>
      <c r="G31" s="3">
        <v>160</v>
      </c>
      <c r="H31" s="3">
        <v>544</v>
      </c>
      <c r="I31" s="3">
        <v>480</v>
      </c>
      <c r="J31" s="3">
        <v>384</v>
      </c>
      <c r="K31">
        <v>-18311</v>
      </c>
      <c r="L31" s="1"/>
      <c r="M31">
        <v>4</v>
      </c>
      <c r="N31">
        <v>25</v>
      </c>
      <c r="O31">
        <v>31</v>
      </c>
      <c r="P31">
        <v>25</v>
      </c>
      <c r="Q31">
        <v>23</v>
      </c>
      <c r="R31">
        <v>16</v>
      </c>
      <c r="S31">
        <v>5</v>
      </c>
      <c r="T31">
        <v>17</v>
      </c>
      <c r="U31">
        <v>15</v>
      </c>
      <c r="V31">
        <v>12</v>
      </c>
      <c r="W31">
        <v>-32768</v>
      </c>
      <c r="X31">
        <v>-32768</v>
      </c>
      <c r="Y31">
        <v>-486180</v>
      </c>
      <c r="Z31">
        <v>-391092</v>
      </c>
      <c r="AA31">
        <v>-486180</v>
      </c>
    </row>
    <row r="32" spans="1:27" x14ac:dyDescent="0.25">
      <c r="A32" s="2">
        <v>11</v>
      </c>
      <c r="B32" s="2">
        <v>14</v>
      </c>
      <c r="C32" s="2">
        <v>13</v>
      </c>
      <c r="D32" s="2">
        <v>27</v>
      </c>
      <c r="E32" s="2">
        <v>12</v>
      </c>
      <c r="F32" s="2">
        <v>14</v>
      </c>
      <c r="G32" s="2">
        <v>28</v>
      </c>
      <c r="H32" s="2">
        <v>6</v>
      </c>
      <c r="I32" s="2">
        <v>5</v>
      </c>
      <c r="J32" s="2">
        <v>0</v>
      </c>
      <c r="K32">
        <v>19973</v>
      </c>
      <c r="M32">
        <v>26</v>
      </c>
      <c r="N32">
        <v>14</v>
      </c>
      <c r="O32">
        <v>22</v>
      </c>
      <c r="P32">
        <v>27</v>
      </c>
      <c r="Q32">
        <v>6</v>
      </c>
      <c r="R32">
        <v>14</v>
      </c>
      <c r="S32">
        <v>7</v>
      </c>
      <c r="T32">
        <v>12</v>
      </c>
      <c r="U32">
        <v>20</v>
      </c>
      <c r="V32">
        <v>0</v>
      </c>
      <c r="W32">
        <v>1426</v>
      </c>
      <c r="X32">
        <v>1426</v>
      </c>
      <c r="Y32">
        <v>89</v>
      </c>
      <c r="Z32">
        <v>1603</v>
      </c>
      <c r="AA32">
        <v>1603</v>
      </c>
    </row>
    <row r="33" spans="1:27" x14ac:dyDescent="0.25">
      <c r="A33" s="3">
        <v>608</v>
      </c>
      <c r="B33" s="3">
        <v>928</v>
      </c>
      <c r="C33" s="3">
        <v>288</v>
      </c>
      <c r="D33" s="3">
        <v>992</v>
      </c>
      <c r="E33" s="3">
        <v>224</v>
      </c>
      <c r="F33" s="3">
        <v>576</v>
      </c>
      <c r="G33" s="3">
        <v>192</v>
      </c>
      <c r="H33" s="3">
        <v>800</v>
      </c>
      <c r="I33" s="3">
        <v>576</v>
      </c>
      <c r="J33" s="3">
        <v>800</v>
      </c>
      <c r="K33">
        <v>14754</v>
      </c>
      <c r="L33" s="1"/>
      <c r="M33">
        <v>19</v>
      </c>
      <c r="N33">
        <v>29</v>
      </c>
      <c r="O33">
        <v>9</v>
      </c>
      <c r="P33">
        <v>31</v>
      </c>
      <c r="Q33">
        <v>7</v>
      </c>
      <c r="R33">
        <v>18</v>
      </c>
      <c r="S33">
        <v>6</v>
      </c>
      <c r="T33">
        <v>25</v>
      </c>
      <c r="U33">
        <v>18</v>
      </c>
      <c r="V33">
        <v>25</v>
      </c>
      <c r="W33">
        <v>32767</v>
      </c>
      <c r="X33">
        <v>32767</v>
      </c>
      <c r="Y33">
        <v>32076</v>
      </c>
      <c r="Z33">
        <v>40075</v>
      </c>
      <c r="AA33">
        <v>32076</v>
      </c>
    </row>
    <row r="34" spans="1:27" x14ac:dyDescent="0.25">
      <c r="A34" s="2">
        <v>26</v>
      </c>
      <c r="B34" s="2">
        <v>14</v>
      </c>
      <c r="C34" s="2">
        <v>14</v>
      </c>
      <c r="D34" s="2">
        <v>1</v>
      </c>
      <c r="E34" s="2">
        <v>24</v>
      </c>
      <c r="F34" s="2">
        <v>8</v>
      </c>
      <c r="G34" s="2">
        <v>2</v>
      </c>
      <c r="H34" s="2">
        <v>20</v>
      </c>
      <c r="I34" s="2">
        <v>4</v>
      </c>
      <c r="J34" s="2">
        <v>4</v>
      </c>
      <c r="K34">
        <v>28053</v>
      </c>
      <c r="M34">
        <v>11</v>
      </c>
      <c r="N34">
        <v>14</v>
      </c>
      <c r="O34">
        <v>14</v>
      </c>
      <c r="P34">
        <v>16</v>
      </c>
      <c r="Q34">
        <v>3</v>
      </c>
      <c r="R34">
        <v>2</v>
      </c>
      <c r="S34">
        <v>8</v>
      </c>
      <c r="T34">
        <v>5</v>
      </c>
      <c r="U34">
        <v>4</v>
      </c>
      <c r="V34">
        <v>4</v>
      </c>
      <c r="W34">
        <v>1753</v>
      </c>
      <c r="X34">
        <v>5610</v>
      </c>
      <c r="Y34">
        <v>794</v>
      </c>
      <c r="Z34">
        <v>1758</v>
      </c>
      <c r="AA34">
        <v>1758</v>
      </c>
    </row>
    <row r="35" spans="1:27" x14ac:dyDescent="0.25">
      <c r="A35" s="3">
        <v>544</v>
      </c>
      <c r="B35" s="3">
        <v>160</v>
      </c>
      <c r="C35" s="3">
        <v>928</v>
      </c>
      <c r="D35" s="3">
        <v>288</v>
      </c>
      <c r="E35" s="3">
        <v>160</v>
      </c>
      <c r="F35" s="3">
        <v>256</v>
      </c>
      <c r="G35" s="3">
        <v>288</v>
      </c>
      <c r="H35" s="3">
        <v>352</v>
      </c>
      <c r="I35" s="3">
        <v>480</v>
      </c>
      <c r="J35" s="3">
        <v>928</v>
      </c>
      <c r="K35">
        <v>-10577</v>
      </c>
      <c r="L35" s="1"/>
      <c r="M35">
        <v>17</v>
      </c>
      <c r="N35">
        <v>5</v>
      </c>
      <c r="O35">
        <v>29</v>
      </c>
      <c r="P35">
        <v>9</v>
      </c>
      <c r="Q35">
        <v>5</v>
      </c>
      <c r="R35">
        <v>8</v>
      </c>
      <c r="S35">
        <v>9</v>
      </c>
      <c r="T35">
        <v>11</v>
      </c>
      <c r="U35">
        <v>15</v>
      </c>
      <c r="V35">
        <v>29</v>
      </c>
      <c r="W35">
        <v>-32768</v>
      </c>
      <c r="X35">
        <v>-32768</v>
      </c>
      <c r="Y35">
        <v>47670</v>
      </c>
      <c r="Z35">
        <v>204015</v>
      </c>
      <c r="AA35">
        <v>47670</v>
      </c>
    </row>
    <row r="36" spans="1:27" x14ac:dyDescent="0.25">
      <c r="A36" s="2">
        <v>19</v>
      </c>
      <c r="B36" s="2">
        <v>0</v>
      </c>
      <c r="C36" s="2">
        <v>25</v>
      </c>
      <c r="D36" s="2">
        <v>0</v>
      </c>
      <c r="E36" s="2">
        <v>8</v>
      </c>
      <c r="F36" s="2">
        <v>11</v>
      </c>
      <c r="G36" s="2">
        <v>10</v>
      </c>
      <c r="H36" s="2">
        <v>13</v>
      </c>
      <c r="I36" s="2">
        <v>10</v>
      </c>
      <c r="J36" s="2">
        <v>23</v>
      </c>
      <c r="K36">
        <v>-16964</v>
      </c>
      <c r="M36">
        <v>25</v>
      </c>
      <c r="N36">
        <v>0</v>
      </c>
      <c r="O36">
        <v>19</v>
      </c>
      <c r="P36">
        <v>0</v>
      </c>
      <c r="Q36">
        <v>2</v>
      </c>
      <c r="R36">
        <v>26</v>
      </c>
      <c r="S36">
        <v>10</v>
      </c>
      <c r="T36">
        <v>22</v>
      </c>
      <c r="U36">
        <v>10</v>
      </c>
      <c r="V36">
        <v>29</v>
      </c>
      <c r="W36">
        <v>-16964</v>
      </c>
      <c r="X36">
        <v>-652</v>
      </c>
      <c r="Y36">
        <v>-1521</v>
      </c>
      <c r="Z36">
        <v>170</v>
      </c>
      <c r="AA36">
        <v>170</v>
      </c>
    </row>
    <row r="37" spans="1:27" x14ac:dyDescent="0.25">
      <c r="A37" s="3">
        <v>544</v>
      </c>
      <c r="B37" s="3">
        <v>0</v>
      </c>
      <c r="C37" s="3">
        <v>640</v>
      </c>
      <c r="D37" s="3">
        <v>960</v>
      </c>
      <c r="E37" s="3">
        <v>0</v>
      </c>
      <c r="F37" s="3">
        <v>704</v>
      </c>
      <c r="G37" s="3">
        <v>672</v>
      </c>
      <c r="H37" s="3">
        <v>544</v>
      </c>
      <c r="I37" s="3">
        <v>192</v>
      </c>
      <c r="J37" s="3">
        <v>800</v>
      </c>
      <c r="K37">
        <v>-27203</v>
      </c>
      <c r="L37" s="1"/>
      <c r="M37">
        <v>17</v>
      </c>
      <c r="N37">
        <v>0</v>
      </c>
      <c r="O37">
        <v>20</v>
      </c>
      <c r="P37">
        <v>30</v>
      </c>
      <c r="Q37">
        <v>0</v>
      </c>
      <c r="R37">
        <v>22</v>
      </c>
      <c r="S37">
        <v>21</v>
      </c>
      <c r="T37">
        <v>17</v>
      </c>
      <c r="U37">
        <v>6</v>
      </c>
      <c r="V37">
        <v>25</v>
      </c>
      <c r="W37">
        <v>-32768</v>
      </c>
      <c r="X37">
        <v>-32768</v>
      </c>
      <c r="Y37">
        <v>-196608</v>
      </c>
      <c r="Z37">
        <v>-819200</v>
      </c>
      <c r="AA37">
        <v>-196608</v>
      </c>
    </row>
    <row r="38" spans="1:27" x14ac:dyDescent="0.25">
      <c r="A38" s="2">
        <v>11</v>
      </c>
      <c r="B38" s="2">
        <v>29</v>
      </c>
      <c r="C38" s="2">
        <v>10</v>
      </c>
      <c r="D38" s="2">
        <v>4</v>
      </c>
      <c r="E38" s="2">
        <v>29</v>
      </c>
      <c r="F38" s="2">
        <v>15</v>
      </c>
      <c r="G38" s="2">
        <v>21</v>
      </c>
      <c r="H38" s="2">
        <v>19</v>
      </c>
      <c r="I38" s="2">
        <v>26</v>
      </c>
      <c r="J38" s="2">
        <v>31</v>
      </c>
      <c r="K38">
        <v>26534</v>
      </c>
      <c r="M38">
        <v>26</v>
      </c>
      <c r="N38">
        <v>23</v>
      </c>
      <c r="O38">
        <v>10</v>
      </c>
      <c r="P38">
        <v>4</v>
      </c>
      <c r="Q38">
        <v>23</v>
      </c>
      <c r="R38">
        <v>30</v>
      </c>
      <c r="S38">
        <v>21</v>
      </c>
      <c r="T38">
        <v>25</v>
      </c>
      <c r="U38">
        <v>11</v>
      </c>
      <c r="V38">
        <v>31</v>
      </c>
      <c r="W38">
        <v>6633</v>
      </c>
      <c r="X38">
        <v>1061</v>
      </c>
      <c r="Y38">
        <v>-2978</v>
      </c>
      <c r="Z38">
        <v>-1057</v>
      </c>
      <c r="AA38">
        <v>-1057</v>
      </c>
    </row>
    <row r="39" spans="1:27" x14ac:dyDescent="0.25">
      <c r="A39" s="3">
        <v>32</v>
      </c>
      <c r="B39" s="3">
        <v>384</v>
      </c>
      <c r="C39" s="3">
        <v>256</v>
      </c>
      <c r="D39" s="3">
        <v>128</v>
      </c>
      <c r="E39" s="3">
        <v>32</v>
      </c>
      <c r="F39" s="3">
        <v>384</v>
      </c>
      <c r="G39" s="3">
        <v>448</v>
      </c>
      <c r="H39" s="3">
        <v>672</v>
      </c>
      <c r="I39" s="3">
        <v>576</v>
      </c>
      <c r="J39" s="3">
        <v>416</v>
      </c>
      <c r="K39">
        <v>-17762</v>
      </c>
      <c r="L39" s="1"/>
      <c r="M39">
        <v>1</v>
      </c>
      <c r="N39">
        <v>12</v>
      </c>
      <c r="O39">
        <v>8</v>
      </c>
      <c r="P39">
        <v>4</v>
      </c>
      <c r="Q39">
        <v>1</v>
      </c>
      <c r="R39">
        <v>12</v>
      </c>
      <c r="S39">
        <v>14</v>
      </c>
      <c r="T39">
        <v>21</v>
      </c>
      <c r="U39">
        <v>18</v>
      </c>
      <c r="V39">
        <v>13</v>
      </c>
      <c r="W39">
        <v>-17762</v>
      </c>
      <c r="X39">
        <v>-17762</v>
      </c>
      <c r="Y39">
        <v>-589824</v>
      </c>
      <c r="Z39">
        <v>-425984</v>
      </c>
      <c r="AA39">
        <v>-589824</v>
      </c>
    </row>
    <row r="40" spans="1:27" x14ac:dyDescent="0.25">
      <c r="A40" s="2">
        <v>27</v>
      </c>
      <c r="B40" s="2">
        <v>1</v>
      </c>
      <c r="C40" s="2">
        <v>10</v>
      </c>
      <c r="D40" s="2">
        <v>16</v>
      </c>
      <c r="E40" s="2">
        <v>27</v>
      </c>
      <c r="F40" s="2">
        <v>27</v>
      </c>
      <c r="G40" s="2">
        <v>10</v>
      </c>
      <c r="H40" s="2">
        <v>29</v>
      </c>
      <c r="I40" s="2">
        <v>29</v>
      </c>
      <c r="J40" s="2">
        <v>18</v>
      </c>
      <c r="K40">
        <v>-14723</v>
      </c>
      <c r="M40">
        <v>27</v>
      </c>
      <c r="N40">
        <v>16</v>
      </c>
      <c r="O40">
        <v>10</v>
      </c>
      <c r="P40">
        <v>1</v>
      </c>
      <c r="Q40">
        <v>27</v>
      </c>
      <c r="R40">
        <v>27</v>
      </c>
      <c r="S40">
        <v>10</v>
      </c>
      <c r="T40">
        <v>23</v>
      </c>
      <c r="U40">
        <v>23</v>
      </c>
      <c r="V40">
        <v>9</v>
      </c>
      <c r="W40">
        <v>-920</v>
      </c>
      <c r="X40">
        <v>-545</v>
      </c>
      <c r="Y40">
        <v>-1424</v>
      </c>
      <c r="Z40">
        <v>-3640</v>
      </c>
      <c r="AA40">
        <v>-3640</v>
      </c>
    </row>
    <row r="41" spans="1:27" x14ac:dyDescent="0.25">
      <c r="A41" s="3">
        <v>992</v>
      </c>
      <c r="B41" s="3">
        <v>512</v>
      </c>
      <c r="C41" s="3">
        <v>864</v>
      </c>
      <c r="D41" s="3">
        <v>224</v>
      </c>
      <c r="E41" s="3">
        <v>320</v>
      </c>
      <c r="F41" s="3">
        <v>640</v>
      </c>
      <c r="G41" s="3">
        <v>704</v>
      </c>
      <c r="H41" s="3">
        <v>704</v>
      </c>
      <c r="I41" s="3">
        <v>544</v>
      </c>
      <c r="J41" s="3">
        <v>800</v>
      </c>
      <c r="K41">
        <v>-4696</v>
      </c>
      <c r="L41" s="1"/>
      <c r="M41">
        <v>31</v>
      </c>
      <c r="N41">
        <v>16</v>
      </c>
      <c r="O41">
        <v>27</v>
      </c>
      <c r="P41">
        <v>7</v>
      </c>
      <c r="Q41">
        <v>10</v>
      </c>
      <c r="R41">
        <v>20</v>
      </c>
      <c r="S41">
        <v>22</v>
      </c>
      <c r="T41">
        <v>22</v>
      </c>
      <c r="U41">
        <v>17</v>
      </c>
      <c r="V41">
        <v>25</v>
      </c>
      <c r="W41">
        <v>-32768</v>
      </c>
      <c r="X41">
        <v>-32768</v>
      </c>
      <c r="Y41">
        <v>-557056</v>
      </c>
      <c r="Z41">
        <v>-819200</v>
      </c>
      <c r="AA41">
        <v>-557056</v>
      </c>
    </row>
    <row r="42" spans="1:27" x14ac:dyDescent="0.25">
      <c r="A42" s="2">
        <v>27</v>
      </c>
      <c r="B42" s="2">
        <v>9</v>
      </c>
      <c r="C42" s="2">
        <v>30</v>
      </c>
      <c r="D42" s="2">
        <v>21</v>
      </c>
      <c r="E42" s="2">
        <v>29</v>
      </c>
      <c r="F42" s="2">
        <v>30</v>
      </c>
      <c r="G42" s="2">
        <v>13</v>
      </c>
      <c r="H42" s="2">
        <v>12</v>
      </c>
      <c r="I42" s="2">
        <v>18</v>
      </c>
      <c r="J42" s="2">
        <v>24</v>
      </c>
      <c r="K42">
        <v>-24372</v>
      </c>
      <c r="M42">
        <v>27</v>
      </c>
      <c r="N42">
        <v>18</v>
      </c>
      <c r="O42">
        <v>15</v>
      </c>
      <c r="P42">
        <v>21</v>
      </c>
      <c r="Q42">
        <v>23</v>
      </c>
      <c r="R42">
        <v>15</v>
      </c>
      <c r="S42">
        <v>22</v>
      </c>
      <c r="T42">
        <v>6</v>
      </c>
      <c r="U42">
        <v>9</v>
      </c>
      <c r="V42">
        <v>3</v>
      </c>
      <c r="W42">
        <v>-1160</v>
      </c>
      <c r="X42">
        <v>-4062</v>
      </c>
      <c r="Y42">
        <v>-3640</v>
      </c>
      <c r="Z42">
        <v>-10922</v>
      </c>
      <c r="AA42">
        <v>-10922</v>
      </c>
    </row>
    <row r="43" spans="1:27" x14ac:dyDescent="0.25">
      <c r="A43" s="3">
        <v>704</v>
      </c>
      <c r="B43" s="3">
        <v>224</v>
      </c>
      <c r="C43" s="3">
        <v>992</v>
      </c>
      <c r="D43" s="3">
        <v>576</v>
      </c>
      <c r="E43" s="3">
        <v>32</v>
      </c>
      <c r="F43" s="3">
        <v>448</v>
      </c>
      <c r="G43" s="3">
        <v>800</v>
      </c>
      <c r="H43" s="3">
        <v>960</v>
      </c>
      <c r="I43" s="3">
        <v>896</v>
      </c>
      <c r="J43" s="3">
        <v>576</v>
      </c>
      <c r="K43">
        <v>23273</v>
      </c>
      <c r="L43" s="1"/>
      <c r="M43">
        <v>22</v>
      </c>
      <c r="N43">
        <v>7</v>
      </c>
      <c r="O43">
        <v>31</v>
      </c>
      <c r="P43">
        <v>18</v>
      </c>
      <c r="Q43">
        <v>1</v>
      </c>
      <c r="R43">
        <v>14</v>
      </c>
      <c r="S43">
        <v>25</v>
      </c>
      <c r="T43">
        <v>30</v>
      </c>
      <c r="U43">
        <v>28</v>
      </c>
      <c r="V43">
        <v>18</v>
      </c>
      <c r="W43">
        <v>32767</v>
      </c>
      <c r="X43">
        <v>23273</v>
      </c>
      <c r="Y43">
        <v>-58268</v>
      </c>
      <c r="Z43">
        <v>-253836</v>
      </c>
      <c r="AA43">
        <v>-58268</v>
      </c>
    </row>
    <row r="44" spans="1:27" x14ac:dyDescent="0.25">
      <c r="A44" s="2">
        <v>5</v>
      </c>
      <c r="B44" s="2">
        <v>21</v>
      </c>
      <c r="C44" s="2">
        <v>28</v>
      </c>
      <c r="D44" s="2">
        <v>25</v>
      </c>
      <c r="E44" s="2">
        <v>18</v>
      </c>
      <c r="F44" s="2">
        <v>3</v>
      </c>
      <c r="G44" s="2">
        <v>9</v>
      </c>
      <c r="H44" s="2">
        <v>28</v>
      </c>
      <c r="I44" s="2">
        <v>11</v>
      </c>
      <c r="J44" s="2">
        <v>9</v>
      </c>
      <c r="K44">
        <v>-19360</v>
      </c>
      <c r="M44">
        <v>20</v>
      </c>
      <c r="N44">
        <v>21</v>
      </c>
      <c r="O44">
        <v>7</v>
      </c>
      <c r="P44">
        <v>19</v>
      </c>
      <c r="Q44">
        <v>9</v>
      </c>
      <c r="R44">
        <v>24</v>
      </c>
      <c r="S44">
        <v>18</v>
      </c>
      <c r="T44">
        <v>7</v>
      </c>
      <c r="U44">
        <v>26</v>
      </c>
      <c r="V44">
        <v>18</v>
      </c>
      <c r="W44">
        <v>-921</v>
      </c>
      <c r="X44">
        <v>-806</v>
      </c>
      <c r="Y44">
        <v>-80</v>
      </c>
      <c r="Z44">
        <v>-797</v>
      </c>
      <c r="AA44">
        <v>-797</v>
      </c>
    </row>
    <row r="45" spans="1:27" x14ac:dyDescent="0.25">
      <c r="A45" s="3">
        <v>672</v>
      </c>
      <c r="B45" s="3">
        <v>896</v>
      </c>
      <c r="C45" s="3">
        <v>672</v>
      </c>
      <c r="D45" s="3">
        <v>800</v>
      </c>
      <c r="E45" s="3">
        <v>896</v>
      </c>
      <c r="F45" s="3">
        <v>640</v>
      </c>
      <c r="G45" s="3">
        <v>736</v>
      </c>
      <c r="H45" s="3">
        <v>640</v>
      </c>
      <c r="I45" s="3">
        <v>960</v>
      </c>
      <c r="J45" s="3">
        <v>800</v>
      </c>
      <c r="K45">
        <v>-30154</v>
      </c>
      <c r="L45" s="1"/>
      <c r="M45">
        <v>21</v>
      </c>
      <c r="N45">
        <v>28</v>
      </c>
      <c r="O45">
        <v>21</v>
      </c>
      <c r="P45">
        <v>25</v>
      </c>
      <c r="Q45">
        <v>28</v>
      </c>
      <c r="R45">
        <v>20</v>
      </c>
      <c r="S45">
        <v>23</v>
      </c>
      <c r="T45">
        <v>20</v>
      </c>
      <c r="U45">
        <v>30</v>
      </c>
      <c r="V45">
        <v>25</v>
      </c>
      <c r="W45">
        <v>-32768</v>
      </c>
      <c r="X45">
        <v>-32768</v>
      </c>
      <c r="Y45">
        <v>-62460</v>
      </c>
      <c r="Z45">
        <v>-359075</v>
      </c>
      <c r="AA45">
        <v>-62460</v>
      </c>
    </row>
    <row r="46" spans="1:27" x14ac:dyDescent="0.25">
      <c r="A46" s="2">
        <v>31</v>
      </c>
      <c r="B46" s="2">
        <v>8</v>
      </c>
      <c r="C46" s="2">
        <v>23</v>
      </c>
      <c r="D46" s="2">
        <v>21</v>
      </c>
      <c r="E46" s="2">
        <v>21</v>
      </c>
      <c r="F46" s="2">
        <v>21</v>
      </c>
      <c r="G46" s="2">
        <v>4</v>
      </c>
      <c r="H46" s="2">
        <v>18</v>
      </c>
      <c r="I46" s="2">
        <v>17</v>
      </c>
      <c r="J46" s="2">
        <v>29</v>
      </c>
      <c r="K46">
        <v>-23000</v>
      </c>
      <c r="M46">
        <v>31</v>
      </c>
      <c r="N46">
        <v>2</v>
      </c>
      <c r="O46">
        <v>29</v>
      </c>
      <c r="P46">
        <v>21</v>
      </c>
      <c r="Q46">
        <v>21</v>
      </c>
      <c r="R46">
        <v>21</v>
      </c>
      <c r="S46">
        <v>4</v>
      </c>
      <c r="T46">
        <v>9</v>
      </c>
      <c r="U46">
        <v>17</v>
      </c>
      <c r="V46">
        <v>23</v>
      </c>
      <c r="W46">
        <v>-1095</v>
      </c>
      <c r="X46">
        <v>-2555</v>
      </c>
      <c r="Y46">
        <v>-118</v>
      </c>
      <c r="Z46">
        <v>-558</v>
      </c>
      <c r="AA46">
        <v>-558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87E30-A7E3-40BE-9B8E-39C1BA9C9CE9}">
  <sheetPr codeName="Sheet2"/>
  <dimension ref="A1:K41"/>
  <sheetViews>
    <sheetView workbookViewId="0">
      <selection activeCell="Q25" sqref="Q25"/>
    </sheetView>
  </sheetViews>
  <sheetFormatPr defaultRowHeight="15" x14ac:dyDescent="0.25"/>
  <cols>
    <col min="1" max="4" width="10.28515625" bestFit="1" customWidth="1"/>
    <col min="5" max="8" width="10.140625" bestFit="1" customWidth="1"/>
    <col min="9" max="9" width="11" bestFit="1" customWidth="1"/>
    <col min="10" max="10" width="10.85546875" bestFit="1" customWidth="1"/>
    <col min="11" max="11" width="11.570312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 t="str">
        <f>DEC2HEX(Calculation!A7,3)</f>
        <v>000</v>
      </c>
      <c r="B2" t="str">
        <f>DEC2HEX(Calculation!B7,3)</f>
        <v>000</v>
      </c>
      <c r="C2" t="str">
        <f>DEC2HEX(Calculation!C7,3)</f>
        <v>000</v>
      </c>
      <c r="D2" t="str">
        <f>DEC2HEX(Calculation!D7,3)</f>
        <v>000</v>
      </c>
      <c r="E2" t="str">
        <f>DEC2HEX(Calculation!E7,3)</f>
        <v>000</v>
      </c>
      <c r="F2" t="str">
        <f>DEC2HEX(Calculation!F7,3)</f>
        <v>000</v>
      </c>
      <c r="G2" t="str">
        <f>DEC2HEX(Calculation!G7,3)</f>
        <v>000</v>
      </c>
      <c r="H2" t="str">
        <f>DEC2HEX(Calculation!H7,3)</f>
        <v>000</v>
      </c>
      <c r="I2" t="str">
        <f>DEC2HEX(Calculation!I7,3)</f>
        <v>000</v>
      </c>
      <c r="J2" t="str">
        <f>DEC2HEX(Calculation!J7,3)</f>
        <v>000</v>
      </c>
      <c r="K2" t="str">
        <f>DEC2HEX(Calculation!K7,4)</f>
        <v>3E1A</v>
      </c>
    </row>
    <row r="3" spans="1:11" x14ac:dyDescent="0.25">
      <c r="A3" t="str">
        <f>DEC2HEX(Calculation!A8,3)</f>
        <v>000</v>
      </c>
      <c r="B3" t="str">
        <f>DEC2HEX(Calculation!B8,3)</f>
        <v>020</v>
      </c>
      <c r="C3" t="str">
        <f>DEC2HEX(Calculation!C8,3)</f>
        <v>020</v>
      </c>
      <c r="D3" t="str">
        <f>DEC2HEX(Calculation!D8,3)</f>
        <v>020</v>
      </c>
      <c r="E3" t="str">
        <f>DEC2HEX(Calculation!E8,3)</f>
        <v>000</v>
      </c>
      <c r="F3" t="str">
        <f>DEC2HEX(Calculation!F8,3)</f>
        <v>020</v>
      </c>
      <c r="G3" t="str">
        <f>DEC2HEX(Calculation!G8,3)</f>
        <v>020</v>
      </c>
      <c r="H3" t="str">
        <f>DEC2HEX(Calculation!H8,3)</f>
        <v>020</v>
      </c>
      <c r="I3" t="str">
        <f>DEC2HEX(Calculation!I8,3)</f>
        <v>020</v>
      </c>
      <c r="J3" t="str">
        <f>DEC2HEX(Calculation!J8,3)</f>
        <v>000</v>
      </c>
      <c r="K3" t="str">
        <f>DEC2HEX(Calculation!K8,4)</f>
        <v>FFFFFFA1DD</v>
      </c>
    </row>
    <row r="4" spans="1:11" x14ac:dyDescent="0.25">
      <c r="A4" t="str">
        <f>DEC2HEX(Calculation!A9,3)</f>
        <v>015</v>
      </c>
      <c r="B4" t="str">
        <f>DEC2HEX(Calculation!B9,3)</f>
        <v>01F</v>
      </c>
      <c r="C4" t="str">
        <f>DEC2HEX(Calculation!C9,3)</f>
        <v>01C</v>
      </c>
      <c r="D4" t="str">
        <f>DEC2HEX(Calculation!D9,3)</f>
        <v>017</v>
      </c>
      <c r="E4" t="str">
        <f>DEC2HEX(Calculation!E9,3)</f>
        <v>015</v>
      </c>
      <c r="F4" t="str">
        <f>DEC2HEX(Calculation!F9,3)</f>
        <v>01A</v>
      </c>
      <c r="G4" t="str">
        <f>DEC2HEX(Calculation!G9,3)</f>
        <v>01A</v>
      </c>
      <c r="H4" t="str">
        <f>DEC2HEX(Calculation!H9,3)</f>
        <v>015</v>
      </c>
      <c r="I4" t="str">
        <f>DEC2HEX(Calculation!I9,3)</f>
        <v>01D</v>
      </c>
      <c r="J4" t="str">
        <f>DEC2HEX(Calculation!J9,3)</f>
        <v>01A</v>
      </c>
      <c r="K4" t="str">
        <f>DEC2HEX(Calculation!K9,4)</f>
        <v>FFFFFFA669</v>
      </c>
    </row>
    <row r="5" spans="1:11" x14ac:dyDescent="0.25">
      <c r="A5" t="str">
        <f>DEC2HEX(Calculation!A10,3)</f>
        <v>0E0</v>
      </c>
      <c r="B5" t="str">
        <f>DEC2HEX(Calculation!B10,3)</f>
        <v>1C0</v>
      </c>
      <c r="C5" t="str">
        <f>DEC2HEX(Calculation!C10,3)</f>
        <v>360</v>
      </c>
      <c r="D5" t="str">
        <f>DEC2HEX(Calculation!D10,3)</f>
        <v>3A0</v>
      </c>
      <c r="E5" t="str">
        <f>DEC2HEX(Calculation!E10,3)</f>
        <v>220</v>
      </c>
      <c r="F5" t="str">
        <f>DEC2HEX(Calculation!F10,3)</f>
        <v>100</v>
      </c>
      <c r="G5" t="str">
        <f>DEC2HEX(Calculation!G10,3)</f>
        <v>380</v>
      </c>
      <c r="H5" t="str">
        <f>DEC2HEX(Calculation!H10,3)</f>
        <v>1C0</v>
      </c>
      <c r="I5" t="str">
        <f>DEC2HEX(Calculation!I10,3)</f>
        <v>1A0</v>
      </c>
      <c r="J5" t="str">
        <f>DEC2HEX(Calculation!J10,3)</f>
        <v>2C0</v>
      </c>
      <c r="K5" t="str">
        <f>DEC2HEX(Calculation!K10,4)</f>
        <v>FFFFFFEAAF</v>
      </c>
    </row>
    <row r="6" spans="1:11" x14ac:dyDescent="0.25">
      <c r="A6" t="str">
        <f>DEC2HEX(Calculation!A11,3)</f>
        <v>012</v>
      </c>
      <c r="B6" t="str">
        <f>DEC2HEX(Calculation!B11,3)</f>
        <v>004</v>
      </c>
      <c r="C6" t="str">
        <f>DEC2HEX(Calculation!C11,3)</f>
        <v>006</v>
      </c>
      <c r="D6" t="str">
        <f>DEC2HEX(Calculation!D11,3)</f>
        <v>015</v>
      </c>
      <c r="E6" t="str">
        <f>DEC2HEX(Calculation!E11,3)</f>
        <v>002</v>
      </c>
      <c r="F6" t="str">
        <f>DEC2HEX(Calculation!F11,3)</f>
        <v>017</v>
      </c>
      <c r="G6" t="str">
        <f>DEC2HEX(Calculation!G11,3)</f>
        <v>01F</v>
      </c>
      <c r="H6" t="str">
        <f>DEC2HEX(Calculation!H11,3)</f>
        <v>018</v>
      </c>
      <c r="I6" t="str">
        <f>DEC2HEX(Calculation!I11,3)</f>
        <v>004</v>
      </c>
      <c r="J6" t="str">
        <f>DEC2HEX(Calculation!J11,3)</f>
        <v>01E</v>
      </c>
      <c r="K6" t="str">
        <f>DEC2HEX(Calculation!K11,4)</f>
        <v>FFFFFF9D4A</v>
      </c>
    </row>
    <row r="7" spans="1:11" x14ac:dyDescent="0.25">
      <c r="A7" t="str">
        <f>DEC2HEX(Calculation!A12,3)</f>
        <v>180</v>
      </c>
      <c r="B7" t="str">
        <f>DEC2HEX(Calculation!B12,3)</f>
        <v>0E0</v>
      </c>
      <c r="C7" t="str">
        <f>DEC2HEX(Calculation!C12,3)</f>
        <v>080</v>
      </c>
      <c r="D7" t="str">
        <f>DEC2HEX(Calculation!D12,3)</f>
        <v>000</v>
      </c>
      <c r="E7" t="str">
        <f>DEC2HEX(Calculation!E12,3)</f>
        <v>180</v>
      </c>
      <c r="F7" t="str">
        <f>DEC2HEX(Calculation!F12,3)</f>
        <v>2A0</v>
      </c>
      <c r="G7" t="str">
        <f>DEC2HEX(Calculation!G12,3)</f>
        <v>360</v>
      </c>
      <c r="H7" t="str">
        <f>DEC2HEX(Calculation!H12,3)</f>
        <v>3C0</v>
      </c>
      <c r="I7" t="str">
        <f>DEC2HEX(Calculation!I12,3)</f>
        <v>0A0</v>
      </c>
      <c r="J7" t="str">
        <f>DEC2HEX(Calculation!J12,3)</f>
        <v>2A0</v>
      </c>
      <c r="K7" t="str">
        <f>DEC2HEX(Calculation!K12,4)</f>
        <v>51B1</v>
      </c>
    </row>
    <row r="8" spans="1:11" x14ac:dyDescent="0.25">
      <c r="A8" t="str">
        <f>DEC2HEX(Calculation!A13,3)</f>
        <v>015</v>
      </c>
      <c r="B8" t="str">
        <f>DEC2HEX(Calculation!B13,3)</f>
        <v>011</v>
      </c>
      <c r="C8" t="str">
        <f>DEC2HEX(Calculation!C13,3)</f>
        <v>005</v>
      </c>
      <c r="D8" t="str">
        <f>DEC2HEX(Calculation!D13,3)</f>
        <v>017</v>
      </c>
      <c r="E8" t="str">
        <f>DEC2HEX(Calculation!E13,3)</f>
        <v>019</v>
      </c>
      <c r="F8" t="str">
        <f>DEC2HEX(Calculation!F13,3)</f>
        <v>012</v>
      </c>
      <c r="G8" t="str">
        <f>DEC2HEX(Calculation!G13,3)</f>
        <v>010</v>
      </c>
      <c r="H8" t="str">
        <f>DEC2HEX(Calculation!H13,3)</f>
        <v>00F</v>
      </c>
      <c r="I8" t="str">
        <f>DEC2HEX(Calculation!I13,3)</f>
        <v>019</v>
      </c>
      <c r="J8" t="str">
        <f>DEC2HEX(Calculation!J13,3)</f>
        <v>002</v>
      </c>
      <c r="K8" t="str">
        <f>DEC2HEX(Calculation!K13,4)</f>
        <v>FFFFFFE063</v>
      </c>
    </row>
    <row r="9" spans="1:11" x14ac:dyDescent="0.25">
      <c r="A9" t="str">
        <f>DEC2HEX(Calculation!A14,3)</f>
        <v>100</v>
      </c>
      <c r="B9" t="str">
        <f>DEC2HEX(Calculation!B14,3)</f>
        <v>380</v>
      </c>
      <c r="C9" t="str">
        <f>DEC2HEX(Calculation!C14,3)</f>
        <v>2C0</v>
      </c>
      <c r="D9" t="str">
        <f>DEC2HEX(Calculation!D14,3)</f>
        <v>2C0</v>
      </c>
      <c r="E9" t="str">
        <f>DEC2HEX(Calculation!E14,3)</f>
        <v>220</v>
      </c>
      <c r="F9" t="str">
        <f>DEC2HEX(Calculation!F14,3)</f>
        <v>280</v>
      </c>
      <c r="G9" t="str">
        <f>DEC2HEX(Calculation!G14,3)</f>
        <v>200</v>
      </c>
      <c r="H9" t="str">
        <f>DEC2HEX(Calculation!H14,3)</f>
        <v>000</v>
      </c>
      <c r="I9" t="str">
        <f>DEC2HEX(Calculation!I14,3)</f>
        <v>320</v>
      </c>
      <c r="J9" t="str">
        <f>DEC2HEX(Calculation!J14,3)</f>
        <v>0E0</v>
      </c>
      <c r="K9" t="str">
        <f>DEC2HEX(Calculation!K14,4)</f>
        <v>FFFFFFD263</v>
      </c>
    </row>
    <row r="10" spans="1:11" x14ac:dyDescent="0.25">
      <c r="A10" t="str">
        <f>DEC2HEX(Calculation!A15,3)</f>
        <v>019</v>
      </c>
      <c r="B10" t="str">
        <f>DEC2HEX(Calculation!B15,3)</f>
        <v>01E</v>
      </c>
      <c r="C10" t="str">
        <f>DEC2HEX(Calculation!C15,3)</f>
        <v>004</v>
      </c>
      <c r="D10" t="str">
        <f>DEC2HEX(Calculation!D15,3)</f>
        <v>017</v>
      </c>
      <c r="E10" t="str">
        <f>DEC2HEX(Calculation!E15,3)</f>
        <v>012</v>
      </c>
      <c r="F10" t="str">
        <f>DEC2HEX(Calculation!F15,3)</f>
        <v>00D</v>
      </c>
      <c r="G10" t="str">
        <f>DEC2HEX(Calculation!G15,3)</f>
        <v>000</v>
      </c>
      <c r="H10" t="str">
        <f>DEC2HEX(Calculation!H15,3)</f>
        <v>008</v>
      </c>
      <c r="I10" t="str">
        <f>DEC2HEX(Calculation!I15,3)</f>
        <v>00A</v>
      </c>
      <c r="J10" t="str">
        <f>DEC2HEX(Calculation!J15,3)</f>
        <v>010</v>
      </c>
      <c r="K10" t="str">
        <f>DEC2HEX(Calculation!K15,4)</f>
        <v>1B20</v>
      </c>
    </row>
    <row r="11" spans="1:11" x14ac:dyDescent="0.25">
      <c r="A11" t="str">
        <f>DEC2HEX(Calculation!A16,3)</f>
        <v>020</v>
      </c>
      <c r="B11" t="str">
        <f>DEC2HEX(Calculation!B16,3)</f>
        <v>040</v>
      </c>
      <c r="C11" t="str">
        <f>DEC2HEX(Calculation!C16,3)</f>
        <v>040</v>
      </c>
      <c r="D11" t="str">
        <f>DEC2HEX(Calculation!D16,3)</f>
        <v>040</v>
      </c>
      <c r="E11" t="str">
        <f>DEC2HEX(Calculation!E16,3)</f>
        <v>040</v>
      </c>
      <c r="F11" t="str">
        <f>DEC2HEX(Calculation!F16,3)</f>
        <v>040</v>
      </c>
      <c r="G11" t="str">
        <f>DEC2HEX(Calculation!G16,3)</f>
        <v>000</v>
      </c>
      <c r="H11" t="str">
        <f>DEC2HEX(Calculation!H16,3)</f>
        <v>040</v>
      </c>
      <c r="I11" t="str">
        <f>DEC2HEX(Calculation!I16,3)</f>
        <v>000</v>
      </c>
      <c r="J11" t="str">
        <f>DEC2HEX(Calculation!J16,3)</f>
        <v>000</v>
      </c>
      <c r="K11" t="str">
        <f>DEC2HEX(Calculation!K16,4)</f>
        <v>2350</v>
      </c>
    </row>
    <row r="12" spans="1:11" x14ac:dyDescent="0.25">
      <c r="A12" t="str">
        <f>DEC2HEX(Calculation!A17,3)</f>
        <v>01F</v>
      </c>
      <c r="B12" t="str">
        <f>DEC2HEX(Calculation!B17,3)</f>
        <v>016</v>
      </c>
      <c r="C12" t="str">
        <f>DEC2HEX(Calculation!C17,3)</f>
        <v>007</v>
      </c>
      <c r="D12" t="str">
        <f>DEC2HEX(Calculation!D17,3)</f>
        <v>00F</v>
      </c>
      <c r="E12" t="str">
        <f>DEC2HEX(Calculation!E17,3)</f>
        <v>00A</v>
      </c>
      <c r="F12" t="str">
        <f>DEC2HEX(Calculation!F17,3)</f>
        <v>01C</v>
      </c>
      <c r="G12" t="str">
        <f>DEC2HEX(Calculation!G17,3)</f>
        <v>005</v>
      </c>
      <c r="H12" t="str">
        <f>DEC2HEX(Calculation!H17,3)</f>
        <v>00D</v>
      </c>
      <c r="I12" t="str">
        <f>DEC2HEX(Calculation!I17,3)</f>
        <v>00A</v>
      </c>
      <c r="J12" t="str">
        <f>DEC2HEX(Calculation!J17,3)</f>
        <v>011</v>
      </c>
      <c r="K12" t="str">
        <f>DEC2HEX(Calculation!K17,4)</f>
        <v>6270</v>
      </c>
    </row>
    <row r="13" spans="1:11" x14ac:dyDescent="0.25">
      <c r="A13" t="str">
        <f>DEC2HEX(Calculation!A18,3)</f>
        <v>0E0</v>
      </c>
      <c r="B13" t="str">
        <f>DEC2HEX(Calculation!B18,3)</f>
        <v>020</v>
      </c>
      <c r="C13" t="str">
        <f>DEC2HEX(Calculation!C18,3)</f>
        <v>000</v>
      </c>
      <c r="D13" t="str">
        <f>DEC2HEX(Calculation!D18,3)</f>
        <v>040</v>
      </c>
      <c r="E13" t="str">
        <f>DEC2HEX(Calculation!E18,3)</f>
        <v>080</v>
      </c>
      <c r="F13" t="str">
        <f>DEC2HEX(Calculation!F18,3)</f>
        <v>0E0</v>
      </c>
      <c r="G13" t="str">
        <f>DEC2HEX(Calculation!G18,3)</f>
        <v>040</v>
      </c>
      <c r="H13" t="str">
        <f>DEC2HEX(Calculation!H18,3)</f>
        <v>000</v>
      </c>
      <c r="I13" t="str">
        <f>DEC2HEX(Calculation!I18,3)</f>
        <v>0A0</v>
      </c>
      <c r="J13" t="str">
        <f>DEC2HEX(Calculation!J18,3)</f>
        <v>060</v>
      </c>
      <c r="K13" t="str">
        <f>DEC2HEX(Calculation!K18,4)</f>
        <v>3BDE</v>
      </c>
    </row>
    <row r="14" spans="1:11" x14ac:dyDescent="0.25">
      <c r="A14" t="str">
        <f>DEC2HEX(Calculation!A19,3)</f>
        <v>019</v>
      </c>
      <c r="B14" t="str">
        <f>DEC2HEX(Calculation!B19,3)</f>
        <v>01E</v>
      </c>
      <c r="C14" t="str">
        <f>DEC2HEX(Calculation!C19,3)</f>
        <v>010</v>
      </c>
      <c r="D14" t="str">
        <f>DEC2HEX(Calculation!D19,3)</f>
        <v>002</v>
      </c>
      <c r="E14" t="str">
        <f>DEC2HEX(Calculation!E19,3)</f>
        <v>000</v>
      </c>
      <c r="F14" t="str">
        <f>DEC2HEX(Calculation!F19,3)</f>
        <v>00E</v>
      </c>
      <c r="G14" t="str">
        <f>DEC2HEX(Calculation!G19,3)</f>
        <v>003</v>
      </c>
      <c r="H14" t="str">
        <f>DEC2HEX(Calculation!H19,3)</f>
        <v>016</v>
      </c>
      <c r="I14" t="str">
        <f>DEC2HEX(Calculation!I19,3)</f>
        <v>012</v>
      </c>
      <c r="J14" t="str">
        <f>DEC2HEX(Calculation!J19,3)</f>
        <v>00C</v>
      </c>
      <c r="K14" t="str">
        <f>DEC2HEX(Calculation!K19,4)</f>
        <v>0373</v>
      </c>
    </row>
    <row r="15" spans="1:11" x14ac:dyDescent="0.25">
      <c r="A15" t="str">
        <f>DEC2HEX(Calculation!A20,3)</f>
        <v>020</v>
      </c>
      <c r="B15" t="str">
        <f>DEC2HEX(Calculation!B20,3)</f>
        <v>000</v>
      </c>
      <c r="C15" t="str">
        <f>DEC2HEX(Calculation!C20,3)</f>
        <v>040</v>
      </c>
      <c r="D15" t="str">
        <f>DEC2HEX(Calculation!D20,3)</f>
        <v>020</v>
      </c>
      <c r="E15" t="str">
        <f>DEC2HEX(Calculation!E20,3)</f>
        <v>020</v>
      </c>
      <c r="F15" t="str">
        <f>DEC2HEX(Calculation!F20,3)</f>
        <v>020</v>
      </c>
      <c r="G15" t="str">
        <f>DEC2HEX(Calculation!G20,3)</f>
        <v>020</v>
      </c>
      <c r="H15" t="str">
        <f>DEC2HEX(Calculation!H20,3)</f>
        <v>020</v>
      </c>
      <c r="I15" t="str">
        <f>DEC2HEX(Calculation!I20,3)</f>
        <v>020</v>
      </c>
      <c r="J15" t="str">
        <f>DEC2HEX(Calculation!J20,3)</f>
        <v>040</v>
      </c>
      <c r="K15" t="str">
        <f>DEC2HEX(Calculation!K20,4)</f>
        <v>FFFFFFB432</v>
      </c>
    </row>
    <row r="16" spans="1:11" x14ac:dyDescent="0.25">
      <c r="A16" t="str">
        <f>DEC2HEX(Calculation!A21,3)</f>
        <v>014</v>
      </c>
      <c r="B16" t="str">
        <f>DEC2HEX(Calculation!B21,3)</f>
        <v>00E</v>
      </c>
      <c r="C16" t="str">
        <f>DEC2HEX(Calculation!C21,3)</f>
        <v>012</v>
      </c>
      <c r="D16" t="str">
        <f>DEC2HEX(Calculation!D21,3)</f>
        <v>013</v>
      </c>
      <c r="E16" t="str">
        <f>DEC2HEX(Calculation!E21,3)</f>
        <v>018</v>
      </c>
      <c r="F16" t="str">
        <f>DEC2HEX(Calculation!F21,3)</f>
        <v>014</v>
      </c>
      <c r="G16" t="str">
        <f>DEC2HEX(Calculation!G21,3)</f>
        <v>006</v>
      </c>
      <c r="H16" t="str">
        <f>DEC2HEX(Calculation!H21,3)</f>
        <v>015</v>
      </c>
      <c r="I16" t="str">
        <f>DEC2HEX(Calculation!I21,3)</f>
        <v>006</v>
      </c>
      <c r="J16" t="str">
        <f>DEC2HEX(Calculation!J21,3)</f>
        <v>009</v>
      </c>
      <c r="K16" t="str">
        <f>DEC2HEX(Calculation!K21,4)</f>
        <v>2AF0</v>
      </c>
    </row>
    <row r="17" spans="1:11" x14ac:dyDescent="0.25">
      <c r="A17" t="str">
        <f>DEC2HEX(Calculation!A22,3)</f>
        <v>020</v>
      </c>
      <c r="B17" t="str">
        <f>DEC2HEX(Calculation!B22,3)</f>
        <v>020</v>
      </c>
      <c r="C17" t="str">
        <f>DEC2HEX(Calculation!C22,3)</f>
        <v>040</v>
      </c>
      <c r="D17" t="str">
        <f>DEC2HEX(Calculation!D22,3)</f>
        <v>000</v>
      </c>
      <c r="E17" t="str">
        <f>DEC2HEX(Calculation!E22,3)</f>
        <v>060</v>
      </c>
      <c r="F17" t="str">
        <f>DEC2HEX(Calculation!F22,3)</f>
        <v>000</v>
      </c>
      <c r="G17" t="str">
        <f>DEC2HEX(Calculation!G22,3)</f>
        <v>020</v>
      </c>
      <c r="H17" t="str">
        <f>DEC2HEX(Calculation!H22,3)</f>
        <v>040</v>
      </c>
      <c r="I17" t="str">
        <f>DEC2HEX(Calculation!I22,3)</f>
        <v>020</v>
      </c>
      <c r="J17" t="str">
        <f>DEC2HEX(Calculation!J22,3)</f>
        <v>040</v>
      </c>
      <c r="K17" t="str">
        <f>DEC2HEX(Calculation!K22,4)</f>
        <v>03B1</v>
      </c>
    </row>
    <row r="18" spans="1:11" x14ac:dyDescent="0.25">
      <c r="A18" t="str">
        <f>DEC2HEX(Calculation!A23,3)</f>
        <v>01B</v>
      </c>
      <c r="B18" t="str">
        <f>DEC2HEX(Calculation!B23,3)</f>
        <v>010</v>
      </c>
      <c r="C18" t="str">
        <f>DEC2HEX(Calculation!C23,3)</f>
        <v>001</v>
      </c>
      <c r="D18" t="str">
        <f>DEC2HEX(Calculation!D23,3)</f>
        <v>011</v>
      </c>
      <c r="E18" t="str">
        <f>DEC2HEX(Calculation!E23,3)</f>
        <v>002</v>
      </c>
      <c r="F18" t="str">
        <f>DEC2HEX(Calculation!F23,3)</f>
        <v>015</v>
      </c>
      <c r="G18" t="str">
        <f>DEC2HEX(Calculation!G23,3)</f>
        <v>010</v>
      </c>
      <c r="H18" t="str">
        <f>DEC2HEX(Calculation!H23,3)</f>
        <v>000</v>
      </c>
      <c r="I18" t="str">
        <f>DEC2HEX(Calculation!I23,3)</f>
        <v>00B</v>
      </c>
      <c r="J18" t="str">
        <f>DEC2HEX(Calculation!J23,3)</f>
        <v>00C</v>
      </c>
      <c r="K18" t="str">
        <f>DEC2HEX(Calculation!K23,4)</f>
        <v>6B8B</v>
      </c>
    </row>
    <row r="19" spans="1:11" x14ac:dyDescent="0.25">
      <c r="A19" t="str">
        <f>DEC2HEX(Calculation!A24,3)</f>
        <v>060</v>
      </c>
      <c r="B19" t="str">
        <f>DEC2HEX(Calculation!B24,3)</f>
        <v>080</v>
      </c>
      <c r="C19" t="str">
        <f>DEC2HEX(Calculation!C24,3)</f>
        <v>080</v>
      </c>
      <c r="D19" t="str">
        <f>DEC2HEX(Calculation!D24,3)</f>
        <v>060</v>
      </c>
      <c r="E19" t="str">
        <f>DEC2HEX(Calculation!E24,3)</f>
        <v>080</v>
      </c>
      <c r="F19" t="str">
        <f>DEC2HEX(Calculation!F24,3)</f>
        <v>060</v>
      </c>
      <c r="G19" t="str">
        <f>DEC2HEX(Calculation!G24,3)</f>
        <v>080</v>
      </c>
      <c r="H19" t="str">
        <f>DEC2HEX(Calculation!H24,3)</f>
        <v>080</v>
      </c>
      <c r="I19" t="str">
        <f>DEC2HEX(Calculation!I24,3)</f>
        <v>080</v>
      </c>
      <c r="J19" t="str">
        <f>DEC2HEX(Calculation!J24,3)</f>
        <v>060</v>
      </c>
      <c r="K19" t="str">
        <f>DEC2HEX(Calculation!K24,4)</f>
        <v>FFFFFFA80B</v>
      </c>
    </row>
    <row r="20" spans="1:11" x14ac:dyDescent="0.25">
      <c r="A20" t="str">
        <f>DEC2HEX(Calculation!A25,3)</f>
        <v>008</v>
      </c>
      <c r="B20" t="str">
        <f>DEC2HEX(Calculation!B25,3)</f>
        <v>00F</v>
      </c>
      <c r="C20" t="str">
        <f>DEC2HEX(Calculation!C25,3)</f>
        <v>014</v>
      </c>
      <c r="D20" t="str">
        <f>DEC2HEX(Calculation!D25,3)</f>
        <v>01E</v>
      </c>
      <c r="E20" t="str">
        <f>DEC2HEX(Calculation!E25,3)</f>
        <v>017</v>
      </c>
      <c r="F20" t="str">
        <f>DEC2HEX(Calculation!F25,3)</f>
        <v>005</v>
      </c>
      <c r="G20" t="str">
        <f>DEC2HEX(Calculation!G25,3)</f>
        <v>001</v>
      </c>
      <c r="H20" t="str">
        <f>DEC2HEX(Calculation!H25,3)</f>
        <v>008</v>
      </c>
      <c r="I20" t="str">
        <f>DEC2HEX(Calculation!I25,3)</f>
        <v>013</v>
      </c>
      <c r="J20" t="str">
        <f>DEC2HEX(Calculation!J25,3)</f>
        <v>01F</v>
      </c>
      <c r="K20" t="str">
        <f>DEC2HEX(Calculation!K25,4)</f>
        <v>1426</v>
      </c>
    </row>
    <row r="21" spans="1:11" x14ac:dyDescent="0.25">
      <c r="A21" t="str">
        <f>DEC2HEX(Calculation!A26,3)</f>
        <v>200</v>
      </c>
      <c r="B21" t="str">
        <f>DEC2HEX(Calculation!B26,3)</f>
        <v>3C0</v>
      </c>
      <c r="C21" t="str">
        <f>DEC2HEX(Calculation!C26,3)</f>
        <v>160</v>
      </c>
      <c r="D21" t="str">
        <f>DEC2HEX(Calculation!D26,3)</f>
        <v>260</v>
      </c>
      <c r="E21" t="str">
        <f>DEC2HEX(Calculation!E26,3)</f>
        <v>140</v>
      </c>
      <c r="F21" t="str">
        <f>DEC2HEX(Calculation!F26,3)</f>
        <v>300</v>
      </c>
      <c r="G21" t="str">
        <f>DEC2HEX(Calculation!G26,3)</f>
        <v>100</v>
      </c>
      <c r="H21" t="str">
        <f>DEC2HEX(Calculation!H26,3)</f>
        <v>360</v>
      </c>
      <c r="I21" t="str">
        <f>DEC2HEX(Calculation!I26,3)</f>
        <v>100</v>
      </c>
      <c r="J21" t="str">
        <f>DEC2HEX(Calculation!J26,3)</f>
        <v>280</v>
      </c>
      <c r="K21" t="str">
        <f>DEC2HEX(Calculation!K26,4)</f>
        <v>0115</v>
      </c>
    </row>
    <row r="22" spans="1:11" x14ac:dyDescent="0.25">
      <c r="A22" t="str">
        <f>DEC2HEX(Calculation!A27,3)</f>
        <v>0C0</v>
      </c>
      <c r="B22" t="str">
        <f>DEC2HEX(Calculation!B27,3)</f>
        <v>140</v>
      </c>
      <c r="C22" t="str">
        <f>DEC2HEX(Calculation!C27,3)</f>
        <v>000</v>
      </c>
      <c r="D22" t="str">
        <f>DEC2HEX(Calculation!D27,3)</f>
        <v>180</v>
      </c>
      <c r="E22" t="str">
        <f>DEC2HEX(Calculation!E27,3)</f>
        <v>100</v>
      </c>
      <c r="F22" t="str">
        <f>DEC2HEX(Calculation!F27,3)</f>
        <v>060</v>
      </c>
      <c r="G22" t="str">
        <f>DEC2HEX(Calculation!G27,3)</f>
        <v>180</v>
      </c>
      <c r="H22" t="str">
        <f>DEC2HEX(Calculation!H27,3)</f>
        <v>280</v>
      </c>
      <c r="I22" t="str">
        <f>DEC2HEX(Calculation!I27,3)</f>
        <v>0E0</v>
      </c>
      <c r="J22" t="str">
        <f>DEC2HEX(Calculation!J27,3)</f>
        <v>0A0</v>
      </c>
      <c r="K22" t="str">
        <f>DEC2HEX(Calculation!K27,4)</f>
        <v>FFFFFFEDC5</v>
      </c>
    </row>
    <row r="23" spans="1:11" x14ac:dyDescent="0.25">
      <c r="A23" t="str">
        <f>DEC2HEX(Calculation!A28,3)</f>
        <v>020</v>
      </c>
      <c r="B23" t="str">
        <f>DEC2HEX(Calculation!B28,3)</f>
        <v>120</v>
      </c>
      <c r="C23" t="str">
        <f>DEC2HEX(Calculation!C28,3)</f>
        <v>0A0</v>
      </c>
      <c r="D23" t="str">
        <f>DEC2HEX(Calculation!D28,3)</f>
        <v>080</v>
      </c>
      <c r="E23" t="str">
        <f>DEC2HEX(Calculation!E28,3)</f>
        <v>240</v>
      </c>
      <c r="F23" t="str">
        <f>DEC2HEX(Calculation!F28,3)</f>
        <v>2C0</v>
      </c>
      <c r="G23" t="str">
        <f>DEC2HEX(Calculation!G28,3)</f>
        <v>260</v>
      </c>
      <c r="H23" t="str">
        <f>DEC2HEX(Calculation!H28,3)</f>
        <v>200</v>
      </c>
      <c r="I23" t="str">
        <f>DEC2HEX(Calculation!I28,3)</f>
        <v>320</v>
      </c>
      <c r="J23" t="str">
        <f>DEC2HEX(Calculation!J28,3)</f>
        <v>340</v>
      </c>
      <c r="K23" t="str">
        <f>DEC2HEX(Calculation!K28,4)</f>
        <v>FFFFFFD880</v>
      </c>
    </row>
    <row r="24" spans="1:11" x14ac:dyDescent="0.25">
      <c r="A24" t="str">
        <f>DEC2HEX(Calculation!A29,3)</f>
        <v>3E0</v>
      </c>
      <c r="B24" t="str">
        <f>DEC2HEX(Calculation!B29,3)</f>
        <v>200</v>
      </c>
      <c r="C24" t="str">
        <f>DEC2HEX(Calculation!C29,3)</f>
        <v>1A0</v>
      </c>
      <c r="D24" t="str">
        <f>DEC2HEX(Calculation!D29,3)</f>
        <v>2E0</v>
      </c>
      <c r="E24" t="str">
        <f>DEC2HEX(Calculation!E29,3)</f>
        <v>100</v>
      </c>
      <c r="F24" t="str">
        <f>DEC2HEX(Calculation!F29,3)</f>
        <v>220</v>
      </c>
      <c r="G24" t="str">
        <f>DEC2HEX(Calculation!G29,3)</f>
        <v>340</v>
      </c>
      <c r="H24" t="str">
        <f>DEC2HEX(Calculation!H29,3)</f>
        <v>320</v>
      </c>
      <c r="I24" t="str">
        <f>DEC2HEX(Calculation!I29,3)</f>
        <v>3C0</v>
      </c>
      <c r="J24" t="str">
        <f>DEC2HEX(Calculation!J29,3)</f>
        <v>1C0</v>
      </c>
      <c r="K24" t="str">
        <f>DEC2HEX(Calculation!K29,4)</f>
        <v>7EF0</v>
      </c>
    </row>
    <row r="25" spans="1:11" x14ac:dyDescent="0.25">
      <c r="A25" t="str">
        <f>DEC2HEX(Calculation!A30,3)</f>
        <v>00F</v>
      </c>
      <c r="B25" t="str">
        <f>DEC2HEX(Calculation!B30,3)</f>
        <v>01E</v>
      </c>
      <c r="C25" t="str">
        <f>DEC2HEX(Calculation!C30,3)</f>
        <v>01A</v>
      </c>
      <c r="D25" t="str">
        <f>DEC2HEX(Calculation!D30,3)</f>
        <v>01C</v>
      </c>
      <c r="E25" t="str">
        <f>DEC2HEX(Calculation!E30,3)</f>
        <v>00F</v>
      </c>
      <c r="F25" t="str">
        <f>DEC2HEX(Calculation!F30,3)</f>
        <v>001</v>
      </c>
      <c r="G25" t="str">
        <f>DEC2HEX(Calculation!G30,3)</f>
        <v>01A</v>
      </c>
      <c r="H25" t="str">
        <f>DEC2HEX(Calculation!H30,3)</f>
        <v>00E</v>
      </c>
      <c r="I25" t="str">
        <f>DEC2HEX(Calculation!I30,3)</f>
        <v>01C</v>
      </c>
      <c r="J25" t="str">
        <f>DEC2HEX(Calculation!J30,3)</f>
        <v>009</v>
      </c>
      <c r="K25" t="str">
        <f>DEC2HEX(Calculation!K30,4)</f>
        <v>09C7</v>
      </c>
    </row>
    <row r="26" spans="1:11" x14ac:dyDescent="0.25">
      <c r="A26" t="str">
        <f>DEC2HEX(Calculation!A31,3)</f>
        <v>080</v>
      </c>
      <c r="B26" t="str">
        <f>DEC2HEX(Calculation!B31,3)</f>
        <v>320</v>
      </c>
      <c r="C26" t="str">
        <f>DEC2HEX(Calculation!C31,3)</f>
        <v>3E0</v>
      </c>
      <c r="D26" t="str">
        <f>DEC2HEX(Calculation!D31,3)</f>
        <v>320</v>
      </c>
      <c r="E26" t="str">
        <f>DEC2HEX(Calculation!E31,3)</f>
        <v>2E0</v>
      </c>
      <c r="F26" t="str">
        <f>DEC2HEX(Calculation!F31,3)</f>
        <v>200</v>
      </c>
      <c r="G26" t="str">
        <f>DEC2HEX(Calculation!G31,3)</f>
        <v>0A0</v>
      </c>
      <c r="H26" t="str">
        <f>DEC2HEX(Calculation!H31,3)</f>
        <v>220</v>
      </c>
      <c r="I26" t="str">
        <f>DEC2HEX(Calculation!I31,3)</f>
        <v>1E0</v>
      </c>
      <c r="J26" t="str">
        <f>DEC2HEX(Calculation!J31,3)</f>
        <v>180</v>
      </c>
      <c r="K26" t="str">
        <f>DEC2HEX(Calculation!K31,4)</f>
        <v>FFFFFFB879</v>
      </c>
    </row>
    <row r="27" spans="1:11" x14ac:dyDescent="0.25">
      <c r="A27" t="str">
        <f>DEC2HEX(Calculation!A32,3)</f>
        <v>00B</v>
      </c>
      <c r="B27" t="str">
        <f>DEC2HEX(Calculation!B32,3)</f>
        <v>00E</v>
      </c>
      <c r="C27" t="str">
        <f>DEC2HEX(Calculation!C32,3)</f>
        <v>00D</v>
      </c>
      <c r="D27" t="str">
        <f>DEC2HEX(Calculation!D32,3)</f>
        <v>01B</v>
      </c>
      <c r="E27" t="str">
        <f>DEC2HEX(Calculation!E32,3)</f>
        <v>00C</v>
      </c>
      <c r="F27" t="str">
        <f>DEC2HEX(Calculation!F32,3)</f>
        <v>00E</v>
      </c>
      <c r="G27" t="str">
        <f>DEC2HEX(Calculation!G32,3)</f>
        <v>01C</v>
      </c>
      <c r="H27" t="str">
        <f>DEC2HEX(Calculation!H32,3)</f>
        <v>006</v>
      </c>
      <c r="I27" t="str">
        <f>DEC2HEX(Calculation!I32,3)</f>
        <v>005</v>
      </c>
      <c r="J27" t="str">
        <f>DEC2HEX(Calculation!J32,3)</f>
        <v>000</v>
      </c>
      <c r="K27" t="str">
        <f>DEC2HEX(Calculation!K32,4)</f>
        <v>4E05</v>
      </c>
    </row>
    <row r="28" spans="1:11" x14ac:dyDescent="0.25">
      <c r="A28" t="str">
        <f>DEC2HEX(Calculation!A33,3)</f>
        <v>260</v>
      </c>
      <c r="B28" t="str">
        <f>DEC2HEX(Calculation!B33,3)</f>
        <v>3A0</v>
      </c>
      <c r="C28" t="str">
        <f>DEC2HEX(Calculation!C33,3)</f>
        <v>120</v>
      </c>
      <c r="D28" t="str">
        <f>DEC2HEX(Calculation!D33,3)</f>
        <v>3E0</v>
      </c>
      <c r="E28" t="str">
        <f>DEC2HEX(Calculation!E33,3)</f>
        <v>0E0</v>
      </c>
      <c r="F28" t="str">
        <f>DEC2HEX(Calculation!F33,3)</f>
        <v>240</v>
      </c>
      <c r="G28" t="str">
        <f>DEC2HEX(Calculation!G33,3)</f>
        <v>0C0</v>
      </c>
      <c r="H28" t="str">
        <f>DEC2HEX(Calculation!H33,3)</f>
        <v>320</v>
      </c>
      <c r="I28" t="str">
        <f>DEC2HEX(Calculation!I33,3)</f>
        <v>240</v>
      </c>
      <c r="J28" t="str">
        <f>DEC2HEX(Calculation!J33,3)</f>
        <v>320</v>
      </c>
      <c r="K28" t="str">
        <f>DEC2HEX(Calculation!K33,4)</f>
        <v>39A2</v>
      </c>
    </row>
    <row r="29" spans="1:11" x14ac:dyDescent="0.25">
      <c r="A29" t="str">
        <f>DEC2HEX(Calculation!A34,3)</f>
        <v>01A</v>
      </c>
      <c r="B29" t="str">
        <f>DEC2HEX(Calculation!B34,3)</f>
        <v>00E</v>
      </c>
      <c r="C29" t="str">
        <f>DEC2HEX(Calculation!C34,3)</f>
        <v>00E</v>
      </c>
      <c r="D29" t="str">
        <f>DEC2HEX(Calculation!D34,3)</f>
        <v>001</v>
      </c>
      <c r="E29" t="str">
        <f>DEC2HEX(Calculation!E34,3)</f>
        <v>018</v>
      </c>
      <c r="F29" t="str">
        <f>DEC2HEX(Calculation!F34,3)</f>
        <v>008</v>
      </c>
      <c r="G29" t="str">
        <f>DEC2HEX(Calculation!G34,3)</f>
        <v>002</v>
      </c>
      <c r="H29" t="str">
        <f>DEC2HEX(Calculation!H34,3)</f>
        <v>014</v>
      </c>
      <c r="I29" t="str">
        <f>DEC2HEX(Calculation!I34,3)</f>
        <v>004</v>
      </c>
      <c r="J29" t="str">
        <f>DEC2HEX(Calculation!J34,3)</f>
        <v>004</v>
      </c>
      <c r="K29" t="str">
        <f>DEC2HEX(Calculation!K34,4)</f>
        <v>6D95</v>
      </c>
    </row>
    <row r="30" spans="1:11" x14ac:dyDescent="0.25">
      <c r="A30" t="str">
        <f>DEC2HEX(Calculation!A35,3)</f>
        <v>220</v>
      </c>
      <c r="B30" t="str">
        <f>DEC2HEX(Calculation!B35,3)</f>
        <v>0A0</v>
      </c>
      <c r="C30" t="str">
        <f>DEC2HEX(Calculation!C35,3)</f>
        <v>3A0</v>
      </c>
      <c r="D30" t="str">
        <f>DEC2HEX(Calculation!D35,3)</f>
        <v>120</v>
      </c>
      <c r="E30" t="str">
        <f>DEC2HEX(Calculation!E35,3)</f>
        <v>0A0</v>
      </c>
      <c r="F30" t="str">
        <f>DEC2HEX(Calculation!F35,3)</f>
        <v>100</v>
      </c>
      <c r="G30" t="str">
        <f>DEC2HEX(Calculation!G35,3)</f>
        <v>120</v>
      </c>
      <c r="H30" t="str">
        <f>DEC2HEX(Calculation!H35,3)</f>
        <v>160</v>
      </c>
      <c r="I30" t="str">
        <f>DEC2HEX(Calculation!I35,3)</f>
        <v>1E0</v>
      </c>
      <c r="J30" t="str">
        <f>DEC2HEX(Calculation!J35,3)</f>
        <v>3A0</v>
      </c>
      <c r="K30" t="str">
        <f>DEC2HEX(Calculation!K35,4)</f>
        <v>FFFFFFD6AF</v>
      </c>
    </row>
    <row r="31" spans="1:11" x14ac:dyDescent="0.25">
      <c r="A31" t="str">
        <f>DEC2HEX(Calculation!A36,3)</f>
        <v>013</v>
      </c>
      <c r="B31" t="str">
        <f>DEC2HEX(Calculation!B36,3)</f>
        <v>000</v>
      </c>
      <c r="C31" t="str">
        <f>DEC2HEX(Calculation!C36,3)</f>
        <v>019</v>
      </c>
      <c r="D31" t="str">
        <f>DEC2HEX(Calculation!D36,3)</f>
        <v>000</v>
      </c>
      <c r="E31" t="str">
        <f>DEC2HEX(Calculation!E36,3)</f>
        <v>008</v>
      </c>
      <c r="F31" t="str">
        <f>DEC2HEX(Calculation!F36,3)</f>
        <v>00B</v>
      </c>
      <c r="G31" t="str">
        <f>DEC2HEX(Calculation!G36,3)</f>
        <v>00A</v>
      </c>
      <c r="H31" t="str">
        <f>DEC2HEX(Calculation!H36,3)</f>
        <v>00D</v>
      </c>
      <c r="I31" t="str">
        <f>DEC2HEX(Calculation!I36,3)</f>
        <v>00A</v>
      </c>
      <c r="J31" t="str">
        <f>DEC2HEX(Calculation!J36,3)</f>
        <v>017</v>
      </c>
      <c r="K31" t="str">
        <f>DEC2HEX(Calculation!K36,4)</f>
        <v>FFFFFFBDBC</v>
      </c>
    </row>
    <row r="32" spans="1:11" x14ac:dyDescent="0.25">
      <c r="A32" t="str">
        <f>DEC2HEX(Calculation!A37,3)</f>
        <v>220</v>
      </c>
      <c r="B32" t="str">
        <f>DEC2HEX(Calculation!B37,3)</f>
        <v>000</v>
      </c>
      <c r="C32" t="str">
        <f>DEC2HEX(Calculation!C37,3)</f>
        <v>280</v>
      </c>
      <c r="D32" t="str">
        <f>DEC2HEX(Calculation!D37,3)</f>
        <v>3C0</v>
      </c>
      <c r="E32" t="str">
        <f>DEC2HEX(Calculation!E37,3)</f>
        <v>000</v>
      </c>
      <c r="F32" t="str">
        <f>DEC2HEX(Calculation!F37,3)</f>
        <v>2C0</v>
      </c>
      <c r="G32" t="str">
        <f>DEC2HEX(Calculation!G37,3)</f>
        <v>2A0</v>
      </c>
      <c r="H32" t="str">
        <f>DEC2HEX(Calculation!H37,3)</f>
        <v>220</v>
      </c>
      <c r="I32" t="str">
        <f>DEC2HEX(Calculation!I37,3)</f>
        <v>0C0</v>
      </c>
      <c r="J32" t="str">
        <f>DEC2HEX(Calculation!J37,3)</f>
        <v>320</v>
      </c>
      <c r="K32" t="str">
        <f>DEC2HEX(Calculation!K37,4)</f>
        <v>FFFFFF95BD</v>
      </c>
    </row>
    <row r="33" spans="1:11" x14ac:dyDescent="0.25">
      <c r="A33" t="str">
        <f>DEC2HEX(Calculation!A38,3)</f>
        <v>00B</v>
      </c>
      <c r="B33" t="str">
        <f>DEC2HEX(Calculation!B38,3)</f>
        <v>01D</v>
      </c>
      <c r="C33" t="str">
        <f>DEC2HEX(Calculation!C38,3)</f>
        <v>00A</v>
      </c>
      <c r="D33" t="str">
        <f>DEC2HEX(Calculation!D38,3)</f>
        <v>004</v>
      </c>
      <c r="E33" t="str">
        <f>DEC2HEX(Calculation!E38,3)</f>
        <v>01D</v>
      </c>
      <c r="F33" t="str">
        <f>DEC2HEX(Calculation!F38,3)</f>
        <v>00F</v>
      </c>
      <c r="G33" t="str">
        <f>DEC2HEX(Calculation!G38,3)</f>
        <v>015</v>
      </c>
      <c r="H33" t="str">
        <f>DEC2HEX(Calculation!H38,3)</f>
        <v>013</v>
      </c>
      <c r="I33" t="str">
        <f>DEC2HEX(Calculation!I38,3)</f>
        <v>01A</v>
      </c>
      <c r="J33" t="str">
        <f>DEC2HEX(Calculation!J38,3)</f>
        <v>01F</v>
      </c>
      <c r="K33" t="str">
        <f>DEC2HEX(Calculation!K38,4)</f>
        <v>67A6</v>
      </c>
    </row>
    <row r="34" spans="1:11" x14ac:dyDescent="0.25">
      <c r="A34" t="str">
        <f>DEC2HEX(Calculation!A39,3)</f>
        <v>020</v>
      </c>
      <c r="B34" t="str">
        <f>DEC2HEX(Calculation!B39,3)</f>
        <v>180</v>
      </c>
      <c r="C34" t="str">
        <f>DEC2HEX(Calculation!C39,3)</f>
        <v>100</v>
      </c>
      <c r="D34" t="str">
        <f>DEC2HEX(Calculation!D39,3)</f>
        <v>080</v>
      </c>
      <c r="E34" t="str">
        <f>DEC2HEX(Calculation!E39,3)</f>
        <v>020</v>
      </c>
      <c r="F34" t="str">
        <f>DEC2HEX(Calculation!F39,3)</f>
        <v>180</v>
      </c>
      <c r="G34" t="str">
        <f>DEC2HEX(Calculation!G39,3)</f>
        <v>1C0</v>
      </c>
      <c r="H34" t="str">
        <f>DEC2HEX(Calculation!H39,3)</f>
        <v>2A0</v>
      </c>
      <c r="I34" t="str">
        <f>DEC2HEX(Calculation!I39,3)</f>
        <v>240</v>
      </c>
      <c r="J34" t="str">
        <f>DEC2HEX(Calculation!J39,3)</f>
        <v>1A0</v>
      </c>
      <c r="K34" t="str">
        <f>DEC2HEX(Calculation!K39,4)</f>
        <v>FFFFFFBA9E</v>
      </c>
    </row>
    <row r="35" spans="1:11" x14ac:dyDescent="0.25">
      <c r="A35" t="str">
        <f>DEC2HEX(Calculation!A40,3)</f>
        <v>01B</v>
      </c>
      <c r="B35" t="str">
        <f>DEC2HEX(Calculation!B40,3)</f>
        <v>001</v>
      </c>
      <c r="C35" t="str">
        <f>DEC2HEX(Calculation!C40,3)</f>
        <v>00A</v>
      </c>
      <c r="D35" t="str">
        <f>DEC2HEX(Calculation!D40,3)</f>
        <v>010</v>
      </c>
      <c r="E35" t="str">
        <f>DEC2HEX(Calculation!E40,3)</f>
        <v>01B</v>
      </c>
      <c r="F35" t="str">
        <f>DEC2HEX(Calculation!F40,3)</f>
        <v>01B</v>
      </c>
      <c r="G35" t="str">
        <f>DEC2HEX(Calculation!G40,3)</f>
        <v>00A</v>
      </c>
      <c r="H35" t="str">
        <f>DEC2HEX(Calculation!H40,3)</f>
        <v>01D</v>
      </c>
      <c r="I35" t="str">
        <f>DEC2HEX(Calculation!I40,3)</f>
        <v>01D</v>
      </c>
      <c r="J35" t="str">
        <f>DEC2HEX(Calculation!J40,3)</f>
        <v>012</v>
      </c>
      <c r="K35" t="str">
        <f>DEC2HEX(Calculation!K40,4)</f>
        <v>FFFFFFC67D</v>
      </c>
    </row>
    <row r="36" spans="1:11" x14ac:dyDescent="0.25">
      <c r="A36" t="str">
        <f>DEC2HEX(Calculation!A41,3)</f>
        <v>3E0</v>
      </c>
      <c r="B36" t="str">
        <f>DEC2HEX(Calculation!B41,3)</f>
        <v>200</v>
      </c>
      <c r="C36" t="str">
        <f>DEC2HEX(Calculation!C41,3)</f>
        <v>360</v>
      </c>
      <c r="D36" t="str">
        <f>DEC2HEX(Calculation!D41,3)</f>
        <v>0E0</v>
      </c>
      <c r="E36" t="str">
        <f>DEC2HEX(Calculation!E41,3)</f>
        <v>140</v>
      </c>
      <c r="F36" t="str">
        <f>DEC2HEX(Calculation!F41,3)</f>
        <v>280</v>
      </c>
      <c r="G36" t="str">
        <f>DEC2HEX(Calculation!G41,3)</f>
        <v>2C0</v>
      </c>
      <c r="H36" t="str">
        <f>DEC2HEX(Calculation!H41,3)</f>
        <v>2C0</v>
      </c>
      <c r="I36" t="str">
        <f>DEC2HEX(Calculation!I41,3)</f>
        <v>220</v>
      </c>
      <c r="J36" t="str">
        <f>DEC2HEX(Calculation!J41,3)</f>
        <v>320</v>
      </c>
      <c r="K36" t="str">
        <f>DEC2HEX(Calculation!K41,4)</f>
        <v>FFFFFFEDA8</v>
      </c>
    </row>
    <row r="37" spans="1:11" x14ac:dyDescent="0.25">
      <c r="A37" t="str">
        <f>DEC2HEX(Calculation!A42,3)</f>
        <v>01B</v>
      </c>
      <c r="B37" t="str">
        <f>DEC2HEX(Calculation!B42,3)</f>
        <v>009</v>
      </c>
      <c r="C37" t="str">
        <f>DEC2HEX(Calculation!C42,3)</f>
        <v>01E</v>
      </c>
      <c r="D37" t="str">
        <f>DEC2HEX(Calculation!D42,3)</f>
        <v>015</v>
      </c>
      <c r="E37" t="str">
        <f>DEC2HEX(Calculation!E42,3)</f>
        <v>01D</v>
      </c>
      <c r="F37" t="str">
        <f>DEC2HEX(Calculation!F42,3)</f>
        <v>01E</v>
      </c>
      <c r="G37" t="str">
        <f>DEC2HEX(Calculation!G42,3)</f>
        <v>00D</v>
      </c>
      <c r="H37" t="str">
        <f>DEC2HEX(Calculation!H42,3)</f>
        <v>00C</v>
      </c>
      <c r="I37" t="str">
        <f>DEC2HEX(Calculation!I42,3)</f>
        <v>012</v>
      </c>
      <c r="J37" t="str">
        <f>DEC2HEX(Calculation!J42,3)</f>
        <v>018</v>
      </c>
      <c r="K37" t="str">
        <f>DEC2HEX(Calculation!K42,4)</f>
        <v>FFFFFFA0CC</v>
      </c>
    </row>
    <row r="38" spans="1:11" x14ac:dyDescent="0.25">
      <c r="A38" t="str">
        <f>DEC2HEX(Calculation!A43,3)</f>
        <v>2C0</v>
      </c>
      <c r="B38" t="str">
        <f>DEC2HEX(Calculation!B43,3)</f>
        <v>0E0</v>
      </c>
      <c r="C38" t="str">
        <f>DEC2HEX(Calculation!C43,3)</f>
        <v>3E0</v>
      </c>
      <c r="D38" t="str">
        <f>DEC2HEX(Calculation!D43,3)</f>
        <v>240</v>
      </c>
      <c r="E38" t="str">
        <f>DEC2HEX(Calculation!E43,3)</f>
        <v>020</v>
      </c>
      <c r="F38" t="str">
        <f>DEC2HEX(Calculation!F43,3)</f>
        <v>1C0</v>
      </c>
      <c r="G38" t="str">
        <f>DEC2HEX(Calculation!G43,3)</f>
        <v>320</v>
      </c>
      <c r="H38" t="str">
        <f>DEC2HEX(Calculation!H43,3)</f>
        <v>3C0</v>
      </c>
      <c r="I38" t="str">
        <f>DEC2HEX(Calculation!I43,3)</f>
        <v>380</v>
      </c>
      <c r="J38" t="str">
        <f>DEC2HEX(Calculation!J43,3)</f>
        <v>240</v>
      </c>
      <c r="K38" t="str">
        <f>DEC2HEX(Calculation!K43,4)</f>
        <v>5AE9</v>
      </c>
    </row>
    <row r="39" spans="1:11" x14ac:dyDescent="0.25">
      <c r="A39" t="str">
        <f>DEC2HEX(Calculation!A44,3)</f>
        <v>005</v>
      </c>
      <c r="B39" t="str">
        <f>DEC2HEX(Calculation!B44,3)</f>
        <v>015</v>
      </c>
      <c r="C39" t="str">
        <f>DEC2HEX(Calculation!C44,3)</f>
        <v>01C</v>
      </c>
      <c r="D39" t="str">
        <f>DEC2HEX(Calculation!D44,3)</f>
        <v>019</v>
      </c>
      <c r="E39" t="str">
        <f>DEC2HEX(Calculation!E44,3)</f>
        <v>012</v>
      </c>
      <c r="F39" t="str">
        <f>DEC2HEX(Calculation!F44,3)</f>
        <v>003</v>
      </c>
      <c r="G39" t="str">
        <f>DEC2HEX(Calculation!G44,3)</f>
        <v>009</v>
      </c>
      <c r="H39" t="str">
        <f>DEC2HEX(Calculation!H44,3)</f>
        <v>01C</v>
      </c>
      <c r="I39" t="str">
        <f>DEC2HEX(Calculation!I44,3)</f>
        <v>00B</v>
      </c>
      <c r="J39" t="str">
        <f>DEC2HEX(Calculation!J44,3)</f>
        <v>009</v>
      </c>
      <c r="K39" t="str">
        <f>DEC2HEX(Calculation!K44,4)</f>
        <v>FFFFFFB460</v>
      </c>
    </row>
    <row r="40" spans="1:11" x14ac:dyDescent="0.25">
      <c r="A40" t="str">
        <f>DEC2HEX(Calculation!A45,3)</f>
        <v>2A0</v>
      </c>
      <c r="B40" t="str">
        <f>DEC2HEX(Calculation!B45,3)</f>
        <v>380</v>
      </c>
      <c r="C40" t="str">
        <f>DEC2HEX(Calculation!C45,3)</f>
        <v>2A0</v>
      </c>
      <c r="D40" t="str">
        <f>DEC2HEX(Calculation!D45,3)</f>
        <v>320</v>
      </c>
      <c r="E40" t="str">
        <f>DEC2HEX(Calculation!E45,3)</f>
        <v>380</v>
      </c>
      <c r="F40" t="str">
        <f>DEC2HEX(Calculation!F45,3)</f>
        <v>280</v>
      </c>
      <c r="G40" t="str">
        <f>DEC2HEX(Calculation!G45,3)</f>
        <v>2E0</v>
      </c>
      <c r="H40" t="str">
        <f>DEC2HEX(Calculation!H45,3)</f>
        <v>280</v>
      </c>
      <c r="I40" t="str">
        <f>DEC2HEX(Calculation!I45,3)</f>
        <v>3C0</v>
      </c>
      <c r="J40" t="str">
        <f>DEC2HEX(Calculation!J45,3)</f>
        <v>320</v>
      </c>
      <c r="K40" t="str">
        <f>DEC2HEX(Calculation!K45,4)</f>
        <v>FFFFFF8A36</v>
      </c>
    </row>
    <row r="41" spans="1:11" x14ac:dyDescent="0.25">
      <c r="A41" t="str">
        <f>DEC2HEX(Calculation!A46,3)</f>
        <v>01F</v>
      </c>
      <c r="B41" t="str">
        <f>DEC2HEX(Calculation!B46,3)</f>
        <v>008</v>
      </c>
      <c r="C41" t="str">
        <f>DEC2HEX(Calculation!C46,3)</f>
        <v>017</v>
      </c>
      <c r="D41" t="str">
        <f>DEC2HEX(Calculation!D46,3)</f>
        <v>015</v>
      </c>
      <c r="E41" t="str">
        <f>DEC2HEX(Calculation!E46,3)</f>
        <v>015</v>
      </c>
      <c r="F41" t="str">
        <f>DEC2HEX(Calculation!F46,3)</f>
        <v>015</v>
      </c>
      <c r="G41" t="str">
        <f>DEC2HEX(Calculation!G46,3)</f>
        <v>004</v>
      </c>
      <c r="H41" t="str">
        <f>DEC2HEX(Calculation!H46,3)</f>
        <v>012</v>
      </c>
      <c r="I41" t="str">
        <f>DEC2HEX(Calculation!I46,3)</f>
        <v>011</v>
      </c>
      <c r="J41" t="str">
        <f>DEC2HEX(Calculation!J46,3)</f>
        <v>01D</v>
      </c>
      <c r="K41" t="str">
        <f>DEC2HEX(Calculation!K46,4)</f>
        <v>FFFFFFA628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9D00F-CE9C-4725-A5D4-E0A44238E1F6}">
  <sheetPr codeName="Sheet4"/>
  <dimension ref="A1:U16"/>
  <sheetViews>
    <sheetView tabSelected="1" zoomScaleNormal="100" workbookViewId="0">
      <selection activeCell="G34" sqref="G34"/>
    </sheetView>
  </sheetViews>
  <sheetFormatPr defaultRowHeight="15" x14ac:dyDescent="0.25"/>
  <cols>
    <col min="1" max="1" width="12" style="4" customWidth="1"/>
    <col min="2" max="2" width="47.85546875" bestFit="1" customWidth="1"/>
    <col min="3" max="3" width="58.7109375" customWidth="1"/>
    <col min="4" max="4" width="41.42578125" customWidth="1"/>
    <col min="5" max="5" width="35.140625" customWidth="1"/>
    <col min="6" max="6" width="15" customWidth="1"/>
    <col min="7" max="7" width="120.140625" customWidth="1"/>
  </cols>
  <sheetData>
    <row r="1" spans="1:21" x14ac:dyDescent="0.25">
      <c r="U1" t="s">
        <v>31</v>
      </c>
    </row>
    <row r="2" spans="1:21" x14ac:dyDescent="0.25">
      <c r="U2" t="s">
        <v>32</v>
      </c>
    </row>
    <row r="3" spans="1:21" x14ac:dyDescent="0.25">
      <c r="A3" s="6" t="s">
        <v>24</v>
      </c>
      <c r="B3" s="7" t="s">
        <v>25</v>
      </c>
      <c r="C3" s="7" t="s">
        <v>26</v>
      </c>
      <c r="D3" s="7" t="s">
        <v>27</v>
      </c>
      <c r="E3" s="7" t="s">
        <v>28</v>
      </c>
      <c r="F3" s="7" t="s">
        <v>29</v>
      </c>
      <c r="G3" s="7" t="s">
        <v>30</v>
      </c>
      <c r="U3" t="s">
        <v>33</v>
      </c>
    </row>
    <row r="4" spans="1:21" ht="105" x14ac:dyDescent="0.25">
      <c r="A4" s="4" t="s">
        <v>53</v>
      </c>
      <c r="B4" t="s">
        <v>54</v>
      </c>
      <c r="C4" s="5" t="s">
        <v>95</v>
      </c>
      <c r="D4" s="5" t="s">
        <v>94</v>
      </c>
      <c r="E4" s="5" t="s">
        <v>94</v>
      </c>
      <c r="F4" t="s">
        <v>31</v>
      </c>
    </row>
    <row r="5" spans="1:21" ht="75" x14ac:dyDescent="0.25">
      <c r="A5" s="4" t="s">
        <v>55</v>
      </c>
      <c r="B5" t="s">
        <v>56</v>
      </c>
      <c r="C5" s="5" t="s">
        <v>87</v>
      </c>
      <c r="D5" s="5" t="s">
        <v>96</v>
      </c>
      <c r="E5" s="5" t="s">
        <v>96</v>
      </c>
      <c r="F5" t="s">
        <v>31</v>
      </c>
    </row>
    <row r="6" spans="1:21" ht="135" x14ac:dyDescent="0.25">
      <c r="A6" s="4" t="s">
        <v>34</v>
      </c>
      <c r="B6" s="5" t="s">
        <v>35</v>
      </c>
      <c r="C6" s="5" t="s">
        <v>88</v>
      </c>
      <c r="D6" s="5" t="s">
        <v>89</v>
      </c>
      <c r="E6" s="5" t="s">
        <v>89</v>
      </c>
      <c r="F6" t="s">
        <v>31</v>
      </c>
    </row>
    <row r="7" spans="1:21" ht="75" x14ac:dyDescent="0.25">
      <c r="A7" s="4" t="s">
        <v>36</v>
      </c>
      <c r="B7" s="5" t="s">
        <v>37</v>
      </c>
      <c r="C7" s="5" t="s">
        <v>90</v>
      </c>
      <c r="D7" s="5" t="s">
        <v>91</v>
      </c>
      <c r="E7" s="5" t="s">
        <v>91</v>
      </c>
      <c r="F7" t="s">
        <v>31</v>
      </c>
    </row>
    <row r="8" spans="1:21" ht="105" x14ac:dyDescent="0.25">
      <c r="A8" s="4" t="s">
        <v>38</v>
      </c>
      <c r="B8" t="s">
        <v>39</v>
      </c>
      <c r="C8" s="5" t="s">
        <v>92</v>
      </c>
      <c r="D8" s="5" t="s">
        <v>42</v>
      </c>
      <c r="E8" s="5" t="s">
        <v>42</v>
      </c>
      <c r="F8" t="s">
        <v>31</v>
      </c>
    </row>
    <row r="9" spans="1:21" ht="105" x14ac:dyDescent="0.25">
      <c r="A9" s="4" t="s">
        <v>40</v>
      </c>
      <c r="B9" t="s">
        <v>41</v>
      </c>
      <c r="C9" s="5" t="s">
        <v>92</v>
      </c>
      <c r="D9" s="5" t="s">
        <v>93</v>
      </c>
      <c r="E9" s="5" t="s">
        <v>93</v>
      </c>
      <c r="F9" t="s">
        <v>31</v>
      </c>
    </row>
    <row r="10" spans="1:21" ht="45" x14ac:dyDescent="0.25">
      <c r="A10" s="4" t="s">
        <v>43</v>
      </c>
      <c r="B10" s="5" t="s">
        <v>57</v>
      </c>
      <c r="C10" s="5" t="s">
        <v>61</v>
      </c>
      <c r="D10" s="5" t="s">
        <v>62</v>
      </c>
      <c r="E10" s="5" t="s">
        <v>62</v>
      </c>
      <c r="F10" t="s">
        <v>31</v>
      </c>
    </row>
    <row r="11" spans="1:21" ht="45" x14ac:dyDescent="0.25">
      <c r="A11" s="4" t="s">
        <v>44</v>
      </c>
      <c r="B11" s="5" t="s">
        <v>58</v>
      </c>
      <c r="C11" s="5" t="s">
        <v>45</v>
      </c>
      <c r="D11" s="5" t="s">
        <v>63</v>
      </c>
      <c r="E11" s="5" t="s">
        <v>63</v>
      </c>
      <c r="F11" t="s">
        <v>31</v>
      </c>
    </row>
    <row r="12" spans="1:21" ht="210" x14ac:dyDescent="0.25">
      <c r="A12" s="4" t="s">
        <v>46</v>
      </c>
      <c r="B12" s="5" t="s">
        <v>59</v>
      </c>
      <c r="C12" s="5" t="s">
        <v>69</v>
      </c>
      <c r="D12" s="5" t="s">
        <v>70</v>
      </c>
      <c r="E12" s="5" t="s">
        <v>70</v>
      </c>
      <c r="F12" t="s">
        <v>31</v>
      </c>
    </row>
    <row r="13" spans="1:21" ht="150" x14ac:dyDescent="0.25">
      <c r="A13" s="4" t="s">
        <v>47</v>
      </c>
      <c r="B13" s="5" t="s">
        <v>60</v>
      </c>
      <c r="C13" s="5" t="s">
        <v>65</v>
      </c>
      <c r="D13" s="5" t="s">
        <v>66</v>
      </c>
      <c r="E13" s="5" t="s">
        <v>66</v>
      </c>
      <c r="F13" t="s">
        <v>31</v>
      </c>
    </row>
    <row r="14" spans="1:21" ht="150" x14ac:dyDescent="0.25">
      <c r="A14" s="4" t="s">
        <v>48</v>
      </c>
      <c r="B14" s="5" t="s">
        <v>64</v>
      </c>
      <c r="C14" s="5" t="s">
        <v>67</v>
      </c>
      <c r="D14" s="5" t="s">
        <v>68</v>
      </c>
      <c r="E14" s="5" t="s">
        <v>68</v>
      </c>
      <c r="F14" t="s">
        <v>31</v>
      </c>
    </row>
    <row r="15" spans="1:21" ht="90" x14ac:dyDescent="0.25">
      <c r="A15" s="4" t="s">
        <v>49</v>
      </c>
      <c r="B15" s="5" t="s">
        <v>50</v>
      </c>
      <c r="C15" s="5" t="s">
        <v>84</v>
      </c>
      <c r="D15" s="5" t="s">
        <v>85</v>
      </c>
      <c r="E15" s="5" t="s">
        <v>85</v>
      </c>
      <c r="F15" t="s">
        <v>31</v>
      </c>
    </row>
    <row r="16" spans="1:21" ht="90" x14ac:dyDescent="0.25">
      <c r="A16" s="4" t="s">
        <v>51</v>
      </c>
      <c r="B16" s="5" t="s">
        <v>52</v>
      </c>
      <c r="C16" s="5" t="s">
        <v>84</v>
      </c>
      <c r="D16" s="5" t="s">
        <v>86</v>
      </c>
      <c r="E16" s="5" t="s">
        <v>86</v>
      </c>
      <c r="F16" t="s">
        <v>31</v>
      </c>
    </row>
  </sheetData>
  <conditionalFormatting sqref="F4:F32">
    <cfRule type="expression" dxfId="2" priority="4" stopIfTrue="1">
      <formula>F4="PASS"</formula>
    </cfRule>
    <cfRule type="expression" dxfId="1" priority="5" stopIfTrue="1">
      <formula>F4="NA"</formula>
    </cfRule>
    <cfRule type="expression" dxfId="0" priority="10" stopIfTrue="1">
      <formula>F4="FAIL"</formula>
    </cfRule>
  </conditionalFormatting>
  <dataValidations count="2">
    <dataValidation type="list" allowBlank="1" showInputMessage="1" showErrorMessage="1" sqref="F36:F72" xr:uid="{FBB38C3E-EFB5-4013-A9D1-C98D5FE50625}">
      <formula1>$U$1:$U$6</formula1>
    </dataValidation>
    <dataValidation type="list" allowBlank="1" showInputMessage="1" showErrorMessage="1" sqref="F4:F35" xr:uid="{7BC5E738-F94B-47E1-9A64-55A865C65D5E}">
      <formula1>$U$1:$U$3</formula1>
    </dataValidation>
  </dataValidation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shapeId="1033" r:id="rId4">
          <objectPr defaultSize="0" r:id="rId5">
            <anchor moveWithCells="1">
              <from>
                <xdr:col>6</xdr:col>
                <xdr:colOff>200025</xdr:colOff>
                <xdr:row>14</xdr:row>
                <xdr:rowOff>914400</xdr:rowOff>
              </from>
              <to>
                <xdr:col>6</xdr:col>
                <xdr:colOff>1371600</xdr:colOff>
                <xdr:row>15</xdr:row>
                <xdr:rowOff>285750</xdr:rowOff>
              </to>
            </anchor>
          </objectPr>
        </oleObject>
      </mc:Choice>
      <mc:Fallback>
        <oleObject progId="Packager Shell Object" shapeId="1033" r:id="rId4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Generation</vt:lpstr>
      <vt:lpstr>Calculation</vt:lpstr>
      <vt:lpstr>TestDatInHex</vt:lpstr>
      <vt:lpstr>TestCase_Manual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Truong Hoang</dc:creator>
  <cp:lastModifiedBy>Truong Hoang</cp:lastModifiedBy>
  <dcterms:created xsi:type="dcterms:W3CDTF">2020-08-23T10:50:55Z</dcterms:created>
  <dcterms:modified xsi:type="dcterms:W3CDTF">2020-10-04T09:46:02Z</dcterms:modified>
</cp:coreProperties>
</file>